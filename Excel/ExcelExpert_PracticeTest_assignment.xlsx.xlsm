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tables/table3.xml" ContentType="application/vnd.openxmlformats-officedocument.spreadsheetml.table+xml"/>
  <Override PartName="/xl/charts/chartEx1.xml" ContentType="application/vnd.ms-office.chartex+xml"/>
  <Override PartName="/xl/charts/style1.xml" ContentType="application/vnd.ms-office.chartstyle+xml"/>
  <Override PartName="/xl/charts/colors1.xml" ContentType="application/vnd.ms-office.chartcolorstyle+xml"/>
  <Override PartName="/xl/pivotTables/pivotTable1.xml" ContentType="application/vnd.openxmlformats-officedocument.spreadsheetml.pivotTable+xml"/>
  <Override PartName="/xl/drawings/drawing3.xml" ContentType="application/vnd.openxmlformats-officedocument.drawing+xml"/>
  <Override PartName="/xl/charts/chart1.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drawings/drawing5.xml" ContentType="application/vnd.openxmlformats-officedocument.drawing+xml"/>
  <Override PartName="/xl/tables/table4.xml" ContentType="application/vnd.openxmlformats-officedocument.spreadsheetml.table+xml"/>
  <Override PartName="/xl/drawings/drawing6.xml" ContentType="application/vnd.openxmlformats-officedocument.drawing+xml"/>
  <Override PartName="/xl/tables/table5.xml" ContentType="application/vnd.openxmlformats-officedocument.spreadsheetml.table+xml"/>
  <Override PartName="/xl/pivotTables/pivotTable2.xml" ContentType="application/vnd.openxmlformats-officedocument.spreadsheetml.pivotTable+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3.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Aman Verma\OneDrive\Desktop\Topmentor Assignment\EXCEL\"/>
    </mc:Choice>
  </mc:AlternateContent>
  <xr:revisionPtr revIDLastSave="0" documentId="8_{D2DE7888-B5D6-4C01-8E3D-510503082C31}" xr6:coauthVersionLast="47" xr6:coauthVersionMax="47" xr10:uidLastSave="{00000000-0000-0000-0000-000000000000}"/>
  <bookViews>
    <workbookView xWindow="-108" yWindow="-108" windowWidth="23256" windowHeight="12456" tabRatio="654" firstSheet="20" activeTab="23" xr2:uid="{00000000-000D-0000-FFFF-FFFF00000000}"/>
  </bookViews>
  <sheets>
    <sheet name="PROJECT 1" sheetId="6" r:id="rId1"/>
    <sheet name="Orders" sheetId="1" r:id="rId2"/>
    <sheet name="Products" sheetId="2" r:id="rId3"/>
    <sheet name="Countries" sheetId="4" r:id="rId4"/>
    <sheet name="Warehouse Extension" sheetId="3" r:id="rId5"/>
    <sheet name="Summary Chart" sheetId="5" r:id="rId6"/>
    <sheet name="PROJECT 2" sheetId="7" r:id="rId7"/>
    <sheet name="Team Selector" sheetId="9" r:id="rId8"/>
    <sheet name="Beer Prices" sheetId="8" r:id="rId9"/>
    <sheet name="Price per Ounce" sheetId="10" r:id="rId10"/>
    <sheet name="PROJECT 3" sheetId="12" r:id="rId11"/>
    <sheet name="Indicators" sheetId="13" r:id="rId12"/>
    <sheet name="Region Summary" sheetId="14" r:id="rId13"/>
    <sheet name="PROJECT 4" sheetId="15" r:id="rId14"/>
    <sheet name="Inventory" sheetId="16" r:id="rId15"/>
    <sheet name="Order Tracker" sheetId="17" r:id="rId16"/>
    <sheet name="PROJECT 5" sheetId="18" r:id="rId17"/>
    <sheet name="Product Sales" sheetId="19" r:id="rId18"/>
    <sheet name="Sales by Store" sheetId="21" r:id="rId19"/>
    <sheet name="New Product" sheetId="20" r:id="rId20"/>
    <sheet name="PROJECT 6" sheetId="22" r:id="rId21"/>
    <sheet name="Van Collisions" sheetId="24" r:id="rId22"/>
    <sheet name="Taxi Collisions" sheetId="27" r:id="rId23"/>
    <sheet name="Monthly Trend" sheetId="29" r:id="rId24"/>
    <sheet name="Collision Causes" sheetId="28" r:id="rId25"/>
  </sheets>
  <definedNames>
    <definedName name="_xlnm._FilterDatabase" localSheetId="3" hidden="1">'Countries'!$A$1:$A$15</definedName>
    <definedName name="_xlnm._FilterDatabase" localSheetId="14" hidden="1">Inventory!$A$1:$I$101</definedName>
    <definedName name="_xlnm._FilterDatabase" localSheetId="1" hidden="1">Orders!$A$1:$I$201</definedName>
    <definedName name="_xlnm._FilterDatabase" localSheetId="17" hidden="1">'Product Sales'!$A$1:$G$87</definedName>
    <definedName name="_xlnm._FilterDatabase" localSheetId="2" hidden="1">Products!$A$1:$B$15</definedName>
    <definedName name="_xlnm._FilterDatabase" localSheetId="21" hidden="1">'Van Collisions'!$A$2:$E$230</definedName>
    <definedName name="_xlchart.v5.0" hidden="1">'Countries'!$A$1</definedName>
    <definedName name="_xlchart.v5.1" hidden="1">'Countries'!$A$2:$A$15</definedName>
    <definedName name="_xlchart.v5.2" hidden="1">'Countries'!$B$1</definedName>
    <definedName name="_xlchart.v5.3" hidden="1">'Countries'!$B$2:$B$15</definedName>
  </definedNames>
  <calcPr calcId="191029"/>
  <pivotCaches>
    <pivotCache cacheId="0" r:id="rId26"/>
    <pivotCache cacheId="7" r:id="rId27"/>
    <pivotCache cacheId="2" r:id="rId28"/>
  </pivotCaches>
</workbook>
</file>

<file path=xl/calcChain.xml><?xml version="1.0" encoding="utf-8"?>
<calcChain xmlns="http://schemas.openxmlformats.org/spreadsheetml/2006/main">
  <c r="G89" i="19" l="1"/>
  <c r="G88" i="19"/>
  <c r="F88" i="19"/>
  <c r="G86" i="19"/>
  <c r="F86" i="19"/>
  <c r="G84" i="19"/>
  <c r="F84" i="19"/>
  <c r="G80" i="19"/>
  <c r="F80" i="19"/>
  <c r="G68" i="19"/>
  <c r="F68" i="19"/>
  <c r="G64" i="19"/>
  <c r="F64" i="19"/>
  <c r="G23" i="19"/>
  <c r="F23" i="19"/>
  <c r="F89" i="19" s="1"/>
  <c r="B5" i="17"/>
  <c r="G2" i="10"/>
  <c r="G3" i="10"/>
  <c r="G4" i="10"/>
  <c r="G5" i="10"/>
  <c r="G6" i="10"/>
  <c r="G7" i="10"/>
  <c r="G8" i="10"/>
  <c r="G9" i="10"/>
  <c r="G10" i="10"/>
  <c r="G11" i="10"/>
  <c r="G12" i="10"/>
  <c r="G13" i="10"/>
  <c r="G14" i="10"/>
  <c r="G15" i="10"/>
  <c r="G16" i="10"/>
  <c r="G17" i="10"/>
  <c r="G18" i="10"/>
  <c r="G19" i="10"/>
  <c r="G20" i="10"/>
  <c r="G21" i="10"/>
  <c r="G22" i="10"/>
  <c r="G23" i="10"/>
  <c r="G24" i="10"/>
  <c r="G25" i="10"/>
  <c r="G26" i="10"/>
  <c r="G27" i="10"/>
  <c r="G28" i="10"/>
  <c r="G29" i="10"/>
  <c r="G30" i="10"/>
  <c r="G31" i="10"/>
  <c r="B5" i="3"/>
  <c r="L2" i="1"/>
  <c r="F2" i="1"/>
  <c r="F3" i="1"/>
  <c r="F4" i="1"/>
  <c r="F5" i="1"/>
  <c r="F6" i="1"/>
  <c r="F7" i="1"/>
  <c r="F8" i="1"/>
  <c r="F9" i="1"/>
  <c r="F10" i="1"/>
  <c r="F11" i="1"/>
  <c r="F12" i="1"/>
  <c r="F13" i="1"/>
  <c r="F14" i="1"/>
  <c r="F15" i="1"/>
  <c r="F16" i="1"/>
  <c r="F17" i="1"/>
  <c r="F18" i="1"/>
  <c r="F19" i="1"/>
  <c r="F20" i="1"/>
  <c r="F21" i="1"/>
  <c r="F22" i="1"/>
  <c r="F23" i="1"/>
  <c r="F24" i="1"/>
  <c r="F25" i="1"/>
  <c r="F26" i="1"/>
  <c r="F27" i="1"/>
  <c r="F28" i="1"/>
  <c r="F29" i="1"/>
  <c r="F30" i="1"/>
  <c r="F31" i="1"/>
  <c r="F32" i="1"/>
  <c r="F33" i="1"/>
  <c r="F34" i="1"/>
  <c r="F35" i="1"/>
  <c r="F36" i="1"/>
  <c r="F37" i="1"/>
  <c r="F38" i="1"/>
  <c r="F39" i="1"/>
  <c r="F40" i="1"/>
  <c r="F41" i="1"/>
  <c r="F42" i="1"/>
  <c r="F43" i="1"/>
  <c r="F44" i="1"/>
  <c r="F45" i="1"/>
  <c r="F46" i="1"/>
  <c r="F47" i="1"/>
  <c r="F48" i="1"/>
  <c r="F49" i="1"/>
  <c r="F50" i="1"/>
  <c r="F51" i="1"/>
  <c r="F52" i="1"/>
  <c r="F53" i="1"/>
  <c r="F54" i="1"/>
  <c r="F55" i="1"/>
  <c r="F56" i="1"/>
  <c r="F57" i="1"/>
  <c r="F58" i="1"/>
  <c r="F59" i="1"/>
  <c r="F60" i="1"/>
  <c r="F61" i="1"/>
  <c r="F62" i="1"/>
  <c r="F63" i="1"/>
  <c r="F64" i="1"/>
  <c r="F65" i="1"/>
  <c r="F66" i="1"/>
  <c r="F67" i="1"/>
  <c r="F68" i="1"/>
  <c r="F69" i="1"/>
  <c r="F70" i="1"/>
  <c r="F71" i="1"/>
  <c r="F72" i="1"/>
  <c r="F73" i="1"/>
  <c r="F74" i="1"/>
  <c r="F75" i="1"/>
  <c r="F76" i="1"/>
  <c r="F77" i="1"/>
  <c r="F78" i="1"/>
  <c r="F79" i="1"/>
  <c r="F80" i="1"/>
  <c r="F81" i="1"/>
  <c r="F82" i="1"/>
  <c r="F83" i="1"/>
  <c r="F84" i="1"/>
  <c r="F85" i="1"/>
  <c r="F86" i="1"/>
  <c r="F87" i="1"/>
  <c r="F88" i="1"/>
  <c r="F89" i="1"/>
  <c r="F90" i="1"/>
  <c r="F91" i="1"/>
  <c r="F92" i="1"/>
  <c r="F93" i="1"/>
  <c r="F94" i="1"/>
  <c r="F95" i="1"/>
  <c r="F96" i="1"/>
  <c r="F97" i="1"/>
  <c r="F98" i="1"/>
  <c r="F99" i="1"/>
  <c r="F100" i="1"/>
  <c r="F101" i="1"/>
  <c r="F102" i="1"/>
  <c r="F103" i="1"/>
  <c r="F104" i="1"/>
  <c r="F105" i="1"/>
  <c r="F106" i="1"/>
  <c r="F107" i="1"/>
  <c r="F108" i="1"/>
  <c r="F109" i="1"/>
  <c r="F110" i="1"/>
  <c r="F111" i="1"/>
  <c r="F112" i="1"/>
  <c r="F113" i="1"/>
  <c r="F114" i="1"/>
  <c r="F115" i="1"/>
  <c r="F116" i="1"/>
  <c r="F117" i="1"/>
  <c r="F118" i="1"/>
  <c r="F119" i="1"/>
  <c r="F120" i="1"/>
  <c r="F121" i="1"/>
  <c r="F122" i="1"/>
  <c r="F123" i="1"/>
  <c r="F124" i="1"/>
  <c r="F125" i="1"/>
  <c r="F126" i="1"/>
  <c r="F127" i="1"/>
  <c r="F128" i="1"/>
  <c r="F129" i="1"/>
  <c r="F130" i="1"/>
  <c r="F131" i="1"/>
  <c r="F132" i="1"/>
  <c r="F133" i="1"/>
  <c r="F134" i="1"/>
  <c r="F135" i="1"/>
  <c r="F136" i="1"/>
  <c r="F137" i="1"/>
  <c r="F138" i="1"/>
  <c r="F139" i="1"/>
  <c r="F140" i="1"/>
  <c r="F141" i="1"/>
  <c r="F142" i="1"/>
  <c r="F143" i="1"/>
  <c r="F144" i="1"/>
  <c r="F145" i="1"/>
  <c r="F146" i="1"/>
  <c r="F147" i="1"/>
  <c r="F148" i="1"/>
  <c r="F149" i="1"/>
  <c r="F150" i="1"/>
  <c r="F151" i="1"/>
  <c r="F152" i="1"/>
  <c r="F153" i="1"/>
  <c r="F154" i="1"/>
  <c r="F155" i="1"/>
  <c r="F156" i="1"/>
  <c r="F157" i="1"/>
  <c r="F158" i="1"/>
  <c r="F159" i="1"/>
  <c r="F160" i="1"/>
  <c r="F161" i="1"/>
  <c r="F162" i="1"/>
  <c r="F163" i="1"/>
  <c r="F164" i="1"/>
  <c r="F165" i="1"/>
  <c r="F166" i="1"/>
  <c r="F167" i="1"/>
  <c r="F168" i="1"/>
  <c r="F169" i="1"/>
  <c r="F170" i="1"/>
  <c r="F171" i="1"/>
  <c r="F172" i="1"/>
  <c r="F173" i="1"/>
  <c r="F174" i="1"/>
  <c r="F175" i="1"/>
  <c r="F176" i="1"/>
  <c r="F177" i="1"/>
  <c r="F178" i="1"/>
  <c r="F179" i="1"/>
  <c r="F180" i="1"/>
  <c r="F181" i="1"/>
  <c r="F182" i="1"/>
  <c r="F183" i="1"/>
  <c r="F184" i="1"/>
  <c r="F185" i="1"/>
  <c r="F186" i="1"/>
  <c r="F187" i="1"/>
  <c r="F188" i="1"/>
  <c r="F189" i="1"/>
  <c r="F190" i="1"/>
  <c r="F191" i="1"/>
  <c r="F192" i="1"/>
  <c r="F193" i="1"/>
  <c r="F194" i="1"/>
  <c r="F195" i="1"/>
  <c r="F196" i="1"/>
  <c r="F197" i="1"/>
  <c r="F198" i="1"/>
  <c r="F199" i="1"/>
  <c r="F200" i="1"/>
  <c r="F201" i="1"/>
  <c r="B8" i="20" l="1"/>
  <c r="C9" i="9" l="1"/>
  <c r="C8" i="9"/>
  <c r="C11" i="9" l="1"/>
</calcChain>
</file>

<file path=xl/sharedStrings.xml><?xml version="1.0" encoding="utf-8"?>
<sst xmlns="http://schemas.openxmlformats.org/spreadsheetml/2006/main" count="2769" uniqueCount="661">
  <si>
    <t>Country</t>
  </si>
  <si>
    <t>Quantity</t>
  </si>
  <si>
    <t>United Kingdom</t>
  </si>
  <si>
    <t>France</t>
  </si>
  <si>
    <t>Netherlands</t>
  </si>
  <si>
    <t>Germany</t>
  </si>
  <si>
    <t>Norway</t>
  </si>
  <si>
    <t>Switzerland</t>
  </si>
  <si>
    <t>Spain</t>
  </si>
  <si>
    <t>Portugal</t>
  </si>
  <si>
    <t>Italy</t>
  </si>
  <si>
    <t>Belgium</t>
  </si>
  <si>
    <t>Denmark</t>
  </si>
  <si>
    <t>Sweden</t>
  </si>
  <si>
    <t>Finland</t>
  </si>
  <si>
    <t>Austria</t>
  </si>
  <si>
    <t>Order Date</t>
  </si>
  <si>
    <t>Product ID</t>
  </si>
  <si>
    <t>Product Name</t>
  </si>
  <si>
    <t>Unit Price</t>
  </si>
  <si>
    <t>Revenue</t>
  </si>
  <si>
    <t>Client ID</t>
  </si>
  <si>
    <t>Orders</t>
  </si>
  <si>
    <t>Mortgage Payments</t>
  </si>
  <si>
    <t>Loan Balance</t>
  </si>
  <si>
    <t>Annual Interest Rate</t>
  </si>
  <si>
    <t>Term Length (yrs)</t>
  </si>
  <si>
    <t>Monthly Payment</t>
  </si>
  <si>
    <t>Grand Total</t>
  </si>
  <si>
    <t>Jan</t>
  </si>
  <si>
    <t>Feb</t>
  </si>
  <si>
    <t>Mar</t>
  </si>
  <si>
    <t>Apr</t>
  </si>
  <si>
    <t>May</t>
  </si>
  <si>
    <t>Jun</t>
  </si>
  <si>
    <t>Jul</t>
  </si>
  <si>
    <t>Aug</t>
  </si>
  <si>
    <t>Sep</t>
  </si>
  <si>
    <t>Oct</t>
  </si>
  <si>
    <t>Nov</t>
  </si>
  <si>
    <t>Dec</t>
  </si>
  <si>
    <t>Sum of Revenue</t>
  </si>
  <si>
    <t>Order #</t>
  </si>
  <si>
    <t>MLB Beer Prices</t>
  </si>
  <si>
    <t>Price:</t>
  </si>
  <si>
    <t>Team</t>
  </si>
  <si>
    <t>Nickname</t>
  </si>
  <si>
    <t>City</t>
  </si>
  <si>
    <t>Arizona Diamondbacks</t>
  </si>
  <si>
    <t>Diamondbacks</t>
  </si>
  <si>
    <t>Arizona</t>
  </si>
  <si>
    <t>Atlanta Braves</t>
  </si>
  <si>
    <t>Braves</t>
  </si>
  <si>
    <t>Atlanta</t>
  </si>
  <si>
    <t>Baltimore Orioles</t>
  </si>
  <si>
    <t>Orioles</t>
  </si>
  <si>
    <t>Baltimore</t>
  </si>
  <si>
    <t>Boston Red Sox</t>
  </si>
  <si>
    <t>Red Sox</t>
  </si>
  <si>
    <t>Boston</t>
  </si>
  <si>
    <t>Chicago Cubs</t>
  </si>
  <si>
    <t>Cubs</t>
  </si>
  <si>
    <t>Chicago</t>
  </si>
  <si>
    <t>Chicago White Sox</t>
  </si>
  <si>
    <t>White Sox</t>
  </si>
  <si>
    <t>Cincinnati Reds</t>
  </si>
  <si>
    <t>Reds</t>
  </si>
  <si>
    <t>Cincinnati</t>
  </si>
  <si>
    <t>Cleveland Indians</t>
  </si>
  <si>
    <t>Indians</t>
  </si>
  <si>
    <t>Cleveland</t>
  </si>
  <si>
    <t>Colorado Rockies</t>
  </si>
  <si>
    <t>Rockies</t>
  </si>
  <si>
    <t>Colorado</t>
  </si>
  <si>
    <t>Detroit Tigers</t>
  </si>
  <si>
    <t>Tigers</t>
  </si>
  <si>
    <t>Detroit</t>
  </si>
  <si>
    <t>Houston Astros</t>
  </si>
  <si>
    <t>Astros</t>
  </si>
  <si>
    <t>Houston</t>
  </si>
  <si>
    <t>Kansas City Royals</t>
  </si>
  <si>
    <t>Royals</t>
  </si>
  <si>
    <t>Kansas City</t>
  </si>
  <si>
    <t>Los Angeles Angels</t>
  </si>
  <si>
    <t>Angels</t>
  </si>
  <si>
    <t>Anaheim</t>
  </si>
  <si>
    <t>Los Angeles Dodgers</t>
  </si>
  <si>
    <t>Dodgers</t>
  </si>
  <si>
    <t>Los Angeles</t>
  </si>
  <si>
    <t>Miami Marlins</t>
  </si>
  <si>
    <t>Marlins</t>
  </si>
  <si>
    <t>Miami</t>
  </si>
  <si>
    <t>Milwaukee Brewers</t>
  </si>
  <si>
    <t>Brewers</t>
  </si>
  <si>
    <t>Milwaukee</t>
  </si>
  <si>
    <t>Minnesota Twins</t>
  </si>
  <si>
    <t>Twins</t>
  </si>
  <si>
    <t>Minnesota</t>
  </si>
  <si>
    <t>New York Mets</t>
  </si>
  <si>
    <t>Mets</t>
  </si>
  <si>
    <t>New York</t>
  </si>
  <si>
    <t>New York Yankees</t>
  </si>
  <si>
    <t>Yankees</t>
  </si>
  <si>
    <t>Oakland Athletics</t>
  </si>
  <si>
    <t>Athletics</t>
  </si>
  <si>
    <t>Oakland</t>
  </si>
  <si>
    <t>Philadelphia Phillies</t>
  </si>
  <si>
    <t>Phillies</t>
  </si>
  <si>
    <t>Philadelphia</t>
  </si>
  <si>
    <t>Pittsburgh Pirates</t>
  </si>
  <si>
    <t>Pirates</t>
  </si>
  <si>
    <t>Pittsburgh</t>
  </si>
  <si>
    <t>San Diego Padres</t>
  </si>
  <si>
    <t>Padres</t>
  </si>
  <si>
    <t>San Diego</t>
  </si>
  <si>
    <t>San Francisco Giants</t>
  </si>
  <si>
    <t>Giants</t>
  </si>
  <si>
    <t>San Francisco</t>
  </si>
  <si>
    <t>Seattle Mariners</t>
  </si>
  <si>
    <t>Mariners</t>
  </si>
  <si>
    <t>Seattle</t>
  </si>
  <si>
    <t>St. Louis Cardinals</t>
  </si>
  <si>
    <t>Cardinals</t>
  </si>
  <si>
    <t>St. Louis</t>
  </si>
  <si>
    <t>Tampa Bay Rays</t>
  </si>
  <si>
    <t>Rays</t>
  </si>
  <si>
    <t>Tampa</t>
  </si>
  <si>
    <t>Texas Rangers</t>
  </si>
  <si>
    <t>Rangers</t>
  </si>
  <si>
    <t>Arlington</t>
  </si>
  <si>
    <t>Toronto Blue Jays</t>
  </si>
  <si>
    <t>Blue Jays</t>
  </si>
  <si>
    <t>Toronto</t>
  </si>
  <si>
    <t>Washington Nationals</t>
  </si>
  <si>
    <t>Nationals</t>
  </si>
  <si>
    <t>Washington</t>
  </si>
  <si>
    <t>Size</t>
  </si>
  <si>
    <t>Price</t>
  </si>
  <si>
    <t>2013</t>
  </si>
  <si>
    <t>2014</t>
  </si>
  <si>
    <t>2015</t>
  </si>
  <si>
    <t>2016</t>
  </si>
  <si>
    <t>2018</t>
  </si>
  <si>
    <t>Change</t>
  </si>
  <si>
    <t>Region</t>
  </si>
  <si>
    <t>Afghanistan</t>
  </si>
  <si>
    <t>South Asia</t>
  </si>
  <si>
    <t>Albania</t>
  </si>
  <si>
    <t>Europe &amp; Central Asia</t>
  </si>
  <si>
    <t>Algeria</t>
  </si>
  <si>
    <t>Middle East &amp; North Africa</t>
  </si>
  <si>
    <t>Andorra</t>
  </si>
  <si>
    <t>Angola</t>
  </si>
  <si>
    <t>Sub-Saharan Africa</t>
  </si>
  <si>
    <t>Antigua and Barbuda</t>
  </si>
  <si>
    <t>Latin America &amp; Caribbean</t>
  </si>
  <si>
    <t>Argentina</t>
  </si>
  <si>
    <t>Armenia</t>
  </si>
  <si>
    <t>Australia</t>
  </si>
  <si>
    <t>East Asia &amp; Pacific</t>
  </si>
  <si>
    <t>Azerbaijan</t>
  </si>
  <si>
    <t>Bahrain</t>
  </si>
  <si>
    <t>Bangladesh</t>
  </si>
  <si>
    <t>Belarus</t>
  </si>
  <si>
    <t>Belize</t>
  </si>
  <si>
    <t>Benin</t>
  </si>
  <si>
    <t>Bhutan</t>
  </si>
  <si>
    <t>Bolivia</t>
  </si>
  <si>
    <t>Bosnia and Herzegovina</t>
  </si>
  <si>
    <t>Botswana</t>
  </si>
  <si>
    <t>Brazil</t>
  </si>
  <si>
    <t>Brunei Darussalam</t>
  </si>
  <si>
    <t>Bulgaria</t>
  </si>
  <si>
    <t>Burkina Faso</t>
  </si>
  <si>
    <t>Burundi</t>
  </si>
  <si>
    <t>Cabo Verde</t>
  </si>
  <si>
    <t>Cambodia</t>
  </si>
  <si>
    <t>Cameroon</t>
  </si>
  <si>
    <t>Canada</t>
  </si>
  <si>
    <t>North America</t>
  </si>
  <si>
    <t>Central African Republic</t>
  </si>
  <si>
    <t>Chad</t>
  </si>
  <si>
    <t>Chile</t>
  </si>
  <si>
    <t>China</t>
  </si>
  <si>
    <t>Colombia</t>
  </si>
  <si>
    <t>Comoros</t>
  </si>
  <si>
    <t>Congo, Dem. Rep.</t>
  </si>
  <si>
    <t>Congo, Rep.</t>
  </si>
  <si>
    <t>Costa Rica</t>
  </si>
  <si>
    <t>Cote d'Ivoire</t>
  </si>
  <si>
    <t>Croatia</t>
  </si>
  <si>
    <t>Cyprus</t>
  </si>
  <si>
    <t>Czech Republic</t>
  </si>
  <si>
    <t>Djibouti</t>
  </si>
  <si>
    <t>Dominica</t>
  </si>
  <si>
    <t>Dominican Republic</t>
  </si>
  <si>
    <t>Ecuador</t>
  </si>
  <si>
    <t>Egypt, Arab Rep.</t>
  </si>
  <si>
    <t>El Salvador</t>
  </si>
  <si>
    <t>Equatorial Guinea</t>
  </si>
  <si>
    <t>Estonia</t>
  </si>
  <si>
    <t>Eswatini</t>
  </si>
  <si>
    <t>Ethiopia</t>
  </si>
  <si>
    <t>Fiji</t>
  </si>
  <si>
    <t>Gabon</t>
  </si>
  <si>
    <t>Gambia, The</t>
  </si>
  <si>
    <t>Georgia</t>
  </si>
  <si>
    <t>Ghana</t>
  </si>
  <si>
    <t>Greece</t>
  </si>
  <si>
    <t>Grenada</t>
  </si>
  <si>
    <t>Guatemala</t>
  </si>
  <si>
    <t>Guinea</t>
  </si>
  <si>
    <t>Guinea-Bissau</t>
  </si>
  <si>
    <t>Guyana</t>
  </si>
  <si>
    <t>Haiti</t>
  </si>
  <si>
    <t>Honduras</t>
  </si>
  <si>
    <t>Hong Kong SAR, China</t>
  </si>
  <si>
    <t>Hungary</t>
  </si>
  <si>
    <t>Iceland</t>
  </si>
  <si>
    <t>India</t>
  </si>
  <si>
    <t>Indonesia</t>
  </si>
  <si>
    <t>Iraq</t>
  </si>
  <si>
    <t>Ireland</t>
  </si>
  <si>
    <t>Israel</t>
  </si>
  <si>
    <t>Jamaica</t>
  </si>
  <si>
    <t>Japan</t>
  </si>
  <si>
    <t>Jordan</t>
  </si>
  <si>
    <t>Kazakhstan</t>
  </si>
  <si>
    <t>Kenya</t>
  </si>
  <si>
    <t>Kiribati</t>
  </si>
  <si>
    <t>Korea, Rep.</t>
  </si>
  <si>
    <t>Kuwait</t>
  </si>
  <si>
    <t>Kyrgyz Republic</t>
  </si>
  <si>
    <t>Latvia</t>
  </si>
  <si>
    <t>Lebanon</t>
  </si>
  <si>
    <t>Lesotho</t>
  </si>
  <si>
    <t>Liberia</t>
  </si>
  <si>
    <t>Libya</t>
  </si>
  <si>
    <t>Lithuania</t>
  </si>
  <si>
    <t>Luxembourg</t>
  </si>
  <si>
    <t>Macao SAR, China</t>
  </si>
  <si>
    <t>Madagascar</t>
  </si>
  <si>
    <t>Malawi</t>
  </si>
  <si>
    <t>Malaysia</t>
  </si>
  <si>
    <t>Maldives</t>
  </si>
  <si>
    <t>Mali</t>
  </si>
  <si>
    <t>Malta</t>
  </si>
  <si>
    <t>Marshall Islands</t>
  </si>
  <si>
    <t>Mauritania</t>
  </si>
  <si>
    <t>Mauritius</t>
  </si>
  <si>
    <t>Mexico</t>
  </si>
  <si>
    <t>Moldova</t>
  </si>
  <si>
    <t>Mongolia</t>
  </si>
  <si>
    <t>Montenegro</t>
  </si>
  <si>
    <t>Morocco</t>
  </si>
  <si>
    <t>Mozambique</t>
  </si>
  <si>
    <t>Myanmar</t>
  </si>
  <si>
    <t>Namibia</t>
  </si>
  <si>
    <t>Nepal</t>
  </si>
  <si>
    <t>New Zealand</t>
  </si>
  <si>
    <t>Nicaragua</t>
  </si>
  <si>
    <t>Niger</t>
  </si>
  <si>
    <t>Nigeria</t>
  </si>
  <si>
    <t>North Macedonia</t>
  </si>
  <si>
    <t>Oman</t>
  </si>
  <si>
    <t>Pakistan</t>
  </si>
  <si>
    <t>Palau</t>
  </si>
  <si>
    <t>Panama</t>
  </si>
  <si>
    <t>Papua New Guinea</t>
  </si>
  <si>
    <t>Paraguay</t>
  </si>
  <si>
    <t>Peru</t>
  </si>
  <si>
    <t>Philippines</t>
  </si>
  <si>
    <t>Poland</t>
  </si>
  <si>
    <t>Puerto Rico</t>
  </si>
  <si>
    <t>Qatar</t>
  </si>
  <si>
    <t>Romania</t>
  </si>
  <si>
    <t>Russian Federation</t>
  </si>
  <si>
    <t>Rwanda</t>
  </si>
  <si>
    <t>Samoa</t>
  </si>
  <si>
    <t>Sao Tome and Principe</t>
  </si>
  <si>
    <t>Saudi Arabia</t>
  </si>
  <si>
    <t>Senegal</t>
  </si>
  <si>
    <t>Serbia</t>
  </si>
  <si>
    <t>Seychelles</t>
  </si>
  <si>
    <t>Sierra Leone</t>
  </si>
  <si>
    <t>Singapore</t>
  </si>
  <si>
    <t>Slovak Republic</t>
  </si>
  <si>
    <t>Slovenia</t>
  </si>
  <si>
    <t>Solomon Islands</t>
  </si>
  <si>
    <t>Somalia</t>
  </si>
  <si>
    <t>South Africa</t>
  </si>
  <si>
    <t>Sri Lanka</t>
  </si>
  <si>
    <t>St. Kitts and Nevis</t>
  </si>
  <si>
    <t>St. Lucia</t>
  </si>
  <si>
    <t>St. Vincent and the Grenadines</t>
  </si>
  <si>
    <t>Suriname</t>
  </si>
  <si>
    <t>Tajikistan</t>
  </si>
  <si>
    <t>Tanzania</t>
  </si>
  <si>
    <t>Thailand</t>
  </si>
  <si>
    <t>Timor-Leste</t>
  </si>
  <si>
    <t>Togo</t>
  </si>
  <si>
    <t>Tonga</t>
  </si>
  <si>
    <t>Trinidad and Tobago</t>
  </si>
  <si>
    <t>Tunisia</t>
  </si>
  <si>
    <t>Turkey</t>
  </si>
  <si>
    <t>Turkmenistan</t>
  </si>
  <si>
    <t>Turks and Caicos Islands</t>
  </si>
  <si>
    <t>Tuvalu</t>
  </si>
  <si>
    <t>Uganda</t>
  </si>
  <si>
    <t>Ukraine</t>
  </si>
  <si>
    <t>United Arab Emirates</t>
  </si>
  <si>
    <t>United States</t>
  </si>
  <si>
    <t>Uruguay</t>
  </si>
  <si>
    <t>Uzbekistan</t>
  </si>
  <si>
    <t>Vanuatu</t>
  </si>
  <si>
    <t>Vietnam</t>
  </si>
  <si>
    <t>Yemen, Rep.</t>
  </si>
  <si>
    <t>Zambia</t>
  </si>
  <si>
    <t>Zimbabwe</t>
  </si>
  <si>
    <t>Population</t>
  </si>
  <si>
    <t>Sum of Population</t>
  </si>
  <si>
    <t>Area</t>
  </si>
  <si>
    <t>Sum of Area</t>
  </si>
  <si>
    <t>Province</t>
  </si>
  <si>
    <t>Winery</t>
  </si>
  <si>
    <t>Variety</t>
  </si>
  <si>
    <t>Name</t>
  </si>
  <si>
    <t>US</t>
  </si>
  <si>
    <t>Cadence</t>
  </si>
  <si>
    <t>Bordeaux Red</t>
  </si>
  <si>
    <t>Cadence (2013) Coda</t>
  </si>
  <si>
    <t>Cadence (2012) Coda</t>
  </si>
  <si>
    <t>Cadence (2015) Coda</t>
  </si>
  <si>
    <t>Cadence (2014) Coda</t>
  </si>
  <si>
    <t>Loire Valley</t>
  </si>
  <si>
    <t>Henri Bourgeois</t>
  </si>
  <si>
    <t>Sauvignon Blanc</t>
  </si>
  <si>
    <t xml:space="preserve">Henri Bourgeois (2010) Jadis </t>
  </si>
  <si>
    <t xml:space="preserve">Henri Bourgeois (2012) Jadis </t>
  </si>
  <si>
    <t xml:space="preserve">Henri Bourgeois (2014) Jadis </t>
  </si>
  <si>
    <t>Burgundy</t>
  </si>
  <si>
    <t>Louis Latour</t>
  </si>
  <si>
    <t>Chardonnay</t>
  </si>
  <si>
    <t xml:space="preserve">Louis Latour (2009) Charmes </t>
  </si>
  <si>
    <t>Cadence (2013) Ciel du Cheval</t>
  </si>
  <si>
    <t xml:space="preserve">Louis Latour (2008) Genievres </t>
  </si>
  <si>
    <t>Pinot Noir</t>
  </si>
  <si>
    <t xml:space="preserve">Louis Latour (2009) En Chevret </t>
  </si>
  <si>
    <t xml:space="preserve">Louis Latour (2012) En Paradis </t>
  </si>
  <si>
    <t xml:space="preserve">Louis Latour (2014) En Paradis </t>
  </si>
  <si>
    <t xml:space="preserve">Louis Latour (2009) La Garenne </t>
  </si>
  <si>
    <t xml:space="preserve">Louis Latour (2009) Les Damodes </t>
  </si>
  <si>
    <t>Cadence (2012) Tapteil</t>
  </si>
  <si>
    <t>Cadence (2014) Tapteil</t>
  </si>
  <si>
    <t>Cadence (2013) Tapteil</t>
  </si>
  <si>
    <t>Cadence (2011) Tapteil</t>
  </si>
  <si>
    <t xml:space="preserve">Henri Bourgeois (2012) En Travertin </t>
  </si>
  <si>
    <t xml:space="preserve">Henri Bourgeois (2015) En Travertin </t>
  </si>
  <si>
    <t>Bordeaux</t>
  </si>
  <si>
    <t>Cheval Quancard</t>
  </si>
  <si>
    <t xml:space="preserve">Cheval Quancard (2010) Fleur de Roc </t>
  </si>
  <si>
    <t xml:space="preserve">Cheval Quancard (2015) Fleur du Roc </t>
  </si>
  <si>
    <t xml:space="preserve">Henri Bourgeois (2014) Les Baronnes </t>
  </si>
  <si>
    <t xml:space="preserve">Henri Bourgeois (2012) Les Baronnes </t>
  </si>
  <si>
    <t xml:space="preserve">Henri Bourgeois (2015) Les Baronnes </t>
  </si>
  <si>
    <t xml:space="preserve">Henri Bourgeois (2016) Les Baronnes </t>
  </si>
  <si>
    <t xml:space="preserve">Henri Bourgeois (2013) Les Baronnes </t>
  </si>
  <si>
    <t>Cheval Quancard (2009) Chai de Bordes</t>
  </si>
  <si>
    <t>Cheval Quancard (2010) Chai de Bordes</t>
  </si>
  <si>
    <t>Cheval Quancard (2012) Chai de Bordes</t>
  </si>
  <si>
    <t>Cheval Quancard (2014) Chai de Bordes</t>
  </si>
  <si>
    <t xml:space="preserve">Henri Bourgeois (2011) Etienne Henri </t>
  </si>
  <si>
    <t xml:space="preserve">Henri Bourgeois (2014) Etienne Henri </t>
  </si>
  <si>
    <t xml:space="preserve">Henri Bourgeois (2013) Etienne Henri </t>
  </si>
  <si>
    <t xml:space="preserve">Henri Bourgeois (2009) La Bourgeoise </t>
  </si>
  <si>
    <t xml:space="preserve">Henri Bourgeois (2014) La Bourgeoise </t>
  </si>
  <si>
    <t xml:space="preserve">Henri Bourgeois (2013) La Bourgeoise </t>
  </si>
  <si>
    <t xml:space="preserve">Henri Bourgeois (2012) La Bourgeoise </t>
  </si>
  <si>
    <t xml:space="preserve">Louis Latour (2014) Le Montrachet </t>
  </si>
  <si>
    <t xml:space="preserve">Louis Latour (2009) Les Chatelots </t>
  </si>
  <si>
    <t xml:space="preserve">Cheval Quancard (2015) Chai de Bordes </t>
  </si>
  <si>
    <t>Louis Latour (2008) Clos de Vougeot</t>
  </si>
  <si>
    <t>Louis Latour (2005) Clos de Vougeot</t>
  </si>
  <si>
    <t>Louis Latour (2010) Clos de Vougeot</t>
  </si>
  <si>
    <t>Louis Latour (2011) Clos de Vougeot</t>
  </si>
  <si>
    <t>Louis Latour (2014) Clos de Vougeot</t>
  </si>
  <si>
    <t xml:space="preserve">Louis Latour (2005) Domaine Latour </t>
  </si>
  <si>
    <t xml:space="preserve">Louis Latour (2015) Domaine Latour </t>
  </si>
  <si>
    <t xml:space="preserve">Henri Bourgeois (2015) Haute Victoire </t>
  </si>
  <si>
    <t xml:space="preserve">Henri Bourgeois (2014) Haute Victoire </t>
  </si>
  <si>
    <t xml:space="preserve">Henri Bourgeois (2011) Sancerre Jadis </t>
  </si>
  <si>
    <t xml:space="preserve">Louis Latour (2009) Les Demoiselles </t>
  </si>
  <si>
    <t xml:space="preserve">Louis Latour (2011) Les Demoiselles </t>
  </si>
  <si>
    <t xml:space="preserve">Louis Latour (2015) Les Demoiselles </t>
  </si>
  <si>
    <t>Louis Latour (2008) Batard-Montrachet</t>
  </si>
  <si>
    <t>Louis Latour (2015) Batard-Montrachet</t>
  </si>
  <si>
    <t>Louis Latour (2014) Batard-Montrachet</t>
  </si>
  <si>
    <t>Louis Latour (2009) Batard-Montrachet</t>
  </si>
  <si>
    <t xml:space="preserve">Cheval Quancard (2014) Fortin Plaisance </t>
  </si>
  <si>
    <t xml:space="preserve">Louis Latour (2012) Les Deux Moulins </t>
  </si>
  <si>
    <t xml:space="preserve">Cheval Quancard (2014) Monfort Bellevue </t>
  </si>
  <si>
    <t xml:space="preserve">Cheval Quancard (2009) Monfort Bellevue </t>
  </si>
  <si>
    <t>Louis Latour (2005) Morey-Saint-Denis</t>
  </si>
  <si>
    <t>Louis Latour (2015) Morey-Saint-Denis</t>
  </si>
  <si>
    <t>Louis Latour (2014) Morey-Saint-Denis</t>
  </si>
  <si>
    <t>Louis Latour (2015) Nuits-St.-Georges</t>
  </si>
  <si>
    <t>Louis Latour (2012) Nuits-St.-Georges</t>
  </si>
  <si>
    <t xml:space="preserve">Henri Bourgeois (2011) Sancerre d'Antan </t>
  </si>
  <si>
    <t xml:space="preserve">Henri Bourgeois (2012) Sancerre d'Antan </t>
  </si>
  <si>
    <t xml:space="preserve">Henri Bourgeois (2009) Sancerre d'Antan </t>
  </si>
  <si>
    <t xml:space="preserve">Louis Latour (2009) Charmes Chambertin </t>
  </si>
  <si>
    <t xml:space="preserve">Cheval Quancard (2010) Prestige de Bordes </t>
  </si>
  <si>
    <t xml:space="preserve">Louis Latour (2008) Charmes Premier Cru </t>
  </si>
  <si>
    <t xml:space="preserve">Louis Latour (2011) Epenots Premier Cru </t>
  </si>
  <si>
    <t xml:space="preserve">Louis Latour (2014) Epenots Premier Cru </t>
  </si>
  <si>
    <t xml:space="preserve">Louis Latour (2009) Les Quatre Journaux </t>
  </si>
  <si>
    <t xml:space="preserve">Louis Latour (2014) Les Quatre Journaux </t>
  </si>
  <si>
    <t xml:space="preserve">Louis Latour (2015) Les Quatre Journaux </t>
  </si>
  <si>
    <t xml:space="preserve">Louis Latour (2011) Morgeot Premier Cru </t>
  </si>
  <si>
    <t xml:space="preserve">Louis Latour (2010) Morgeot Premier Cru </t>
  </si>
  <si>
    <t xml:space="preserve">Louis Latour (2015) Morgeot Premier Cru </t>
  </si>
  <si>
    <t>Cadence (2011) Cara Mia</t>
  </si>
  <si>
    <t>Cadence (2013) Cara Mia</t>
  </si>
  <si>
    <t>Cadence (2014) Cara Mia</t>
  </si>
  <si>
    <t>Cadence (2012) Cara Mia</t>
  </si>
  <si>
    <t xml:space="preserve">Louis Latour (2011) Caradeux Premier Cru </t>
  </si>
  <si>
    <t xml:space="preserve">Henri Bourgeois (2008) Le M.D. de Bourgeois </t>
  </si>
  <si>
    <t>Canoe Ridge</t>
  </si>
  <si>
    <t>Merlot</t>
  </si>
  <si>
    <t>Canoe Ridge (2013) The Expedition</t>
  </si>
  <si>
    <t>Canoe Ridge (2014) The Expedition</t>
  </si>
  <si>
    <t>Order Tracker</t>
  </si>
  <si>
    <t>Purchase Date:</t>
  </si>
  <si>
    <t>Shipment Time (business days):</t>
  </si>
  <si>
    <t>Arrival Date:</t>
  </si>
  <si>
    <t>Order ID:</t>
  </si>
  <si>
    <t>555-123</t>
  </si>
  <si>
    <t>Stock On Hand</t>
  </si>
  <si>
    <t>Reorder Quantity</t>
  </si>
  <si>
    <t>Year</t>
  </si>
  <si>
    <t>Whole Bean/Teas</t>
  </si>
  <si>
    <t>Coffee beans</t>
  </si>
  <si>
    <t>Organic Beans</t>
  </si>
  <si>
    <t>Brazilian - Organic</t>
  </si>
  <si>
    <t>House blend Beans</t>
  </si>
  <si>
    <t>Our Old Time Diner Blend</t>
  </si>
  <si>
    <t>Espresso Beans</t>
  </si>
  <si>
    <t>Espresso Roast</t>
  </si>
  <si>
    <t>Primo Espresso Roast</t>
  </si>
  <si>
    <t>Gourmet Beans</t>
  </si>
  <si>
    <t>Columbian Medium Roast</t>
  </si>
  <si>
    <t>Premium Beans</t>
  </si>
  <si>
    <t>Jamacian Coffee River</t>
  </si>
  <si>
    <t>Civet Cat</t>
  </si>
  <si>
    <t>Organic Decaf Blend</t>
  </si>
  <si>
    <t>Green beans</t>
  </si>
  <si>
    <t>Guatemalan Sustainably Grown</t>
  </si>
  <si>
    <t>Loose Tea</t>
  </si>
  <si>
    <t>Herbal tea</t>
  </si>
  <si>
    <t>Lemon Grass</t>
  </si>
  <si>
    <t>Peppermint</t>
  </si>
  <si>
    <t>Black tea</t>
  </si>
  <si>
    <t>English Breakfast</t>
  </si>
  <si>
    <t>Earl Grey</t>
  </si>
  <si>
    <t>Green tea</t>
  </si>
  <si>
    <t>Serenity Green Tea</t>
  </si>
  <si>
    <t>Chai tea</t>
  </si>
  <si>
    <t>Traditional Blend Chai</t>
  </si>
  <si>
    <t>Morning Sunrise Chai</t>
  </si>
  <si>
    <t>Spicy Eye Opener Chai</t>
  </si>
  <si>
    <t>Packaged Chocolate</t>
  </si>
  <si>
    <t>Drinking Chocolate</t>
  </si>
  <si>
    <t>Dark chocolate</t>
  </si>
  <si>
    <t>Organic Chocolate</t>
  </si>
  <si>
    <t>Sustainably Grown Organic</t>
  </si>
  <si>
    <t>Chili Mayan</t>
  </si>
  <si>
    <t>Beverages</t>
  </si>
  <si>
    <t>Coffee</t>
  </si>
  <si>
    <t>Drip coffee</t>
  </si>
  <si>
    <t>Our Old Time Diner Blend Sm</t>
  </si>
  <si>
    <t>Our Old Time Diner Blend Rg</t>
  </si>
  <si>
    <t>Our Old Time Diner Blend Lg</t>
  </si>
  <si>
    <t>Organic brewed coffee</t>
  </si>
  <si>
    <t>Brazilian Sm</t>
  </si>
  <si>
    <t>Brazilian Rg</t>
  </si>
  <si>
    <t>Brazilian Lg</t>
  </si>
  <si>
    <t>Gourmet brewed coffee</t>
  </si>
  <si>
    <t>Columbian Medium Roast Sm</t>
  </si>
  <si>
    <t>Columbian Medium Roast Rg</t>
  </si>
  <si>
    <t>Columbian Medium Roast Lg</t>
  </si>
  <si>
    <t>Ethiopia Sm</t>
  </si>
  <si>
    <t>Ethiopia Rg</t>
  </si>
  <si>
    <t>Ethiopia Lg</t>
  </si>
  <si>
    <t>Premium brewed coffee</t>
  </si>
  <si>
    <t>Jamaican Coffee River Sm</t>
  </si>
  <si>
    <t>Jamaican Coffee River Rg</t>
  </si>
  <si>
    <t>Jamaican Coffee River Lg</t>
  </si>
  <si>
    <t>Barista Espresso</t>
  </si>
  <si>
    <t>Espresso shot</t>
  </si>
  <si>
    <t>Latte</t>
  </si>
  <si>
    <t>Latte Rg</t>
  </si>
  <si>
    <t>Cappuccino</t>
  </si>
  <si>
    <t>Cappuccino Lg</t>
  </si>
  <si>
    <t>Tea</t>
  </si>
  <si>
    <t>Brewed herbal tea</t>
  </si>
  <si>
    <t>Lemon Grass Rg</t>
  </si>
  <si>
    <t>Lemon Grass Lg</t>
  </si>
  <si>
    <t>Peppermint Rg</t>
  </si>
  <si>
    <t>Peppermint Lg</t>
  </si>
  <si>
    <t>Brewed Green tea</t>
  </si>
  <si>
    <t>Serenity Green Tea Rg</t>
  </si>
  <si>
    <t>Serenity Green Tea Lg</t>
  </si>
  <si>
    <t>Brewed Black tea</t>
  </si>
  <si>
    <t>English Breakfast Rg</t>
  </si>
  <si>
    <t>English Breakfast Lg</t>
  </si>
  <si>
    <t>Earl Grey Rg</t>
  </si>
  <si>
    <t>Earl Grey Lg</t>
  </si>
  <si>
    <t>Brewed Chai tea</t>
  </si>
  <si>
    <t>Traditional Blend Chai Rg</t>
  </si>
  <si>
    <t>Traditional Blend Chai Lg</t>
  </si>
  <si>
    <t>Morning Sunrise Chai Rg</t>
  </si>
  <si>
    <t>Morning Sunrise Chai Lg</t>
  </si>
  <si>
    <t>Spicy Eye Opener Chai Rg</t>
  </si>
  <si>
    <t>Spicy Eye Opener Chai Lg</t>
  </si>
  <si>
    <t>Hot chocolate</t>
  </si>
  <si>
    <t>Dark chocolate Rg</t>
  </si>
  <si>
    <t>Dark chocolate Lg</t>
  </si>
  <si>
    <t>Sustainably Grown Organic Rg</t>
  </si>
  <si>
    <t>Sustainably Grown Organic Lg</t>
  </si>
  <si>
    <t>Add-ons</t>
  </si>
  <si>
    <t>Flavours</t>
  </si>
  <si>
    <t>Regular syrup</t>
  </si>
  <si>
    <t>Carmel syrup</t>
  </si>
  <si>
    <t>Hazelnut syrup</t>
  </si>
  <si>
    <t>Sugar free syrup</t>
  </si>
  <si>
    <t>Sugar Free Vanilla syrup</t>
  </si>
  <si>
    <t>Food</t>
  </si>
  <si>
    <t>Bakery</t>
  </si>
  <si>
    <t>Pastry</t>
  </si>
  <si>
    <t>Croissant</t>
  </si>
  <si>
    <t>Scone</t>
  </si>
  <si>
    <t>Cranberry Scone</t>
  </si>
  <si>
    <t>Chocolate Croissant</t>
  </si>
  <si>
    <t>Ginger Scone</t>
  </si>
  <si>
    <t>Almond Croissant</t>
  </si>
  <si>
    <t>Biscotti</t>
  </si>
  <si>
    <t>Ginger Biscotti</t>
  </si>
  <si>
    <t>Hazelnut Biscotti</t>
  </si>
  <si>
    <t>Chocolate Chip Biscotti</t>
  </si>
  <si>
    <t>Oatmeal Scone</t>
  </si>
  <si>
    <t xml:space="preserve">Scottish Cream Scone </t>
  </si>
  <si>
    <t>Jumbo Savory Scone</t>
  </si>
  <si>
    <t>Merchandise</t>
  </si>
  <si>
    <t>Branded</t>
  </si>
  <si>
    <t>Clothing</t>
  </si>
  <si>
    <t>I Need My Bean! T-shirt</t>
  </si>
  <si>
    <t>Housewares</t>
  </si>
  <si>
    <t>I Need My Bean! Diner mug</t>
  </si>
  <si>
    <t>I Need My Bean! Latte cup</t>
  </si>
  <si>
    <t>Chocolate syrup</t>
  </si>
  <si>
    <t>Ouro Brasileiro shot</t>
  </si>
  <si>
    <t>Product Group</t>
  </si>
  <si>
    <t>Product Category</t>
  </si>
  <si>
    <t>Product Type</t>
  </si>
  <si>
    <t>Units Sold</t>
  </si>
  <si>
    <t>Total Sales</t>
  </si>
  <si>
    <t>Fixed Costs:</t>
  </si>
  <si>
    <t>Rocky Roast Premium Beans</t>
  </si>
  <si>
    <t>Variable Costs:</t>
  </si>
  <si>
    <t>Profit:</t>
  </si>
  <si>
    <t>Q1</t>
  </si>
  <si>
    <t>Q2</t>
  </si>
  <si>
    <t>Q3</t>
  </si>
  <si>
    <t>Q4</t>
  </si>
  <si>
    <t>Astoria Store</t>
  </si>
  <si>
    <t>Lower Manhattan Store</t>
  </si>
  <si>
    <t>Hell's Kitchen Store</t>
  </si>
  <si>
    <t>NYC Totals</t>
  </si>
  <si>
    <t>Units Sold:</t>
  </si>
  <si>
    <t>Date</t>
  </si>
  <si>
    <t>Time</t>
  </si>
  <si>
    <t>District</t>
  </si>
  <si>
    <t># of Persons Injured</t>
  </si>
  <si>
    <t>Collision Cause</t>
  </si>
  <si>
    <t>Vehicle</t>
  </si>
  <si>
    <t>Unsafe Speed</t>
  </si>
  <si>
    <t>Sedan</t>
  </si>
  <si>
    <t>Driver Inattention/Distraction</t>
  </si>
  <si>
    <t>Passing Too Closely</t>
  </si>
  <si>
    <t>Ambulance</t>
  </si>
  <si>
    <t>Unspecified</t>
  </si>
  <si>
    <t>Bike</t>
  </si>
  <si>
    <t>Unsafe Lane Changing</t>
  </si>
  <si>
    <t>Traffic Control Disregarded</t>
  </si>
  <si>
    <t>Fatigued/Drowsy</t>
  </si>
  <si>
    <t>View Obstructed/Limited</t>
  </si>
  <si>
    <t>Pedestrian/Bicyclist/Other Pedestrian Error/Confusion</t>
  </si>
  <si>
    <t>Brakes Defective</t>
  </si>
  <si>
    <t>Box Truck</t>
  </si>
  <si>
    <t>Backing Unsafely</t>
  </si>
  <si>
    <t>Oversized Vehicle</t>
  </si>
  <si>
    <t>Bus</t>
  </si>
  <si>
    <t>Following Too Closely</t>
  </si>
  <si>
    <t>Concrete Mixer</t>
  </si>
  <si>
    <t>Passing or Lane Usage Improper</t>
  </si>
  <si>
    <t>Dump</t>
  </si>
  <si>
    <t>Reaction to Uninvolved Vehicle</t>
  </si>
  <si>
    <t>E-Bike</t>
  </si>
  <si>
    <t>Pick-up Truck</t>
  </si>
  <si>
    <t>Other Vehicular</t>
  </si>
  <si>
    <t>Moped</t>
  </si>
  <si>
    <t>Failure to Yield Right-of-Way</t>
  </si>
  <si>
    <t>Pavement Slippery</t>
  </si>
  <si>
    <t>Alcohol Involvement</t>
  </si>
  <si>
    <t>Aggressive Driving/Road Rage</t>
  </si>
  <si>
    <t>Driverless/Runaway Vehicle</t>
  </si>
  <si>
    <t>Turning Improperly</t>
  </si>
  <si>
    <t>Driver Inexperience</t>
  </si>
  <si>
    <t>Station Wagon</t>
  </si>
  <si>
    <t>Outside Car Distraction</t>
  </si>
  <si>
    <t>Illnes</t>
  </si>
  <si>
    <t>Fell Asleep</t>
  </si>
  <si>
    <t>Taxi</t>
  </si>
  <si>
    <t>Trailer</t>
  </si>
  <si>
    <t>Van</t>
  </si>
  <si>
    <t>Sum of # of Persons Injured</t>
  </si>
  <si>
    <t>Van Collisions in NYC</t>
  </si>
  <si>
    <t>Passenger Distraction</t>
  </si>
  <si>
    <t>E-Scooter</t>
  </si>
  <si>
    <t>Taxi Collisions in NYC</t>
  </si>
  <si>
    <t>Month</t>
  </si>
  <si>
    <t>Collisions</t>
  </si>
  <si>
    <t>Injury %</t>
  </si>
  <si>
    <t>Price per Ounce</t>
  </si>
  <si>
    <t>Jumbo Bag Owls</t>
  </si>
  <si>
    <t>Space Frog</t>
  </si>
  <si>
    <t>Owl Doorstop</t>
  </si>
  <si>
    <t>First Aid Tin</t>
  </si>
  <si>
    <t>Bingo Set</t>
  </si>
  <si>
    <t>Photo Cube</t>
  </si>
  <si>
    <t>Local Cafe Mug</t>
  </si>
  <si>
    <t>Popcorn Holder</t>
  </si>
  <si>
    <t xml:space="preserve">Button Box </t>
  </si>
  <si>
    <t xml:space="preserve">Wicker Star </t>
  </si>
  <si>
    <t>Polkadot Pen</t>
  </si>
  <si>
    <t>Funky Diva Pen</t>
  </si>
  <si>
    <t>Bathroom Hook</t>
  </si>
  <si>
    <t xml:space="preserve">Sombrero </t>
  </si>
  <si>
    <t>Months</t>
  </si>
  <si>
    <t>Manhattan</t>
  </si>
  <si>
    <t>Brooklyn</t>
  </si>
  <si>
    <t>Bronx</t>
  </si>
  <si>
    <t>Queens</t>
  </si>
  <si>
    <t>Staten Island</t>
  </si>
  <si>
    <t xml:space="preserve">Sum of Population Density       </t>
  </si>
  <si>
    <t>Whole Bean/Teas Total</t>
  </si>
  <si>
    <t>Beverages Total</t>
  </si>
  <si>
    <t>Add-ons Total</t>
  </si>
  <si>
    <t>Food Total</t>
  </si>
  <si>
    <t>Merchandise Total</t>
  </si>
  <si>
    <t>S1123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</si>
</sst>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quot;$&quot;#,##0_);[Red]\(&quot;$&quot;#,##0\)"/>
    <numFmt numFmtId="165" formatCode="&quot;$&quot;#,##0.00_);[Red]\(&quot;$&quot;#,##0.00\)"/>
    <numFmt numFmtId="166" formatCode="yyyy\-mm\-dd;@"/>
    <numFmt numFmtId="167" formatCode="&quot;$&quot;#,##0.00"/>
    <numFmt numFmtId="168" formatCode="0.0%"/>
    <numFmt numFmtId="169" formatCode="&quot;$&quot;#,##0"/>
    <numFmt numFmtId="170" formatCode="hh:mm:ss"/>
  </numFmts>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i/>
      <sz val="11"/>
      <color theme="1"/>
      <name val="Calibri"/>
      <family val="2"/>
      <scheme val="minor"/>
    </font>
    <font>
      <b/>
      <i/>
      <sz val="11"/>
      <color theme="1"/>
      <name val="Calibri"/>
      <family val="2"/>
      <scheme val="minor"/>
    </font>
    <font>
      <b/>
      <sz val="20"/>
      <color theme="1"/>
      <name val="Calibri"/>
      <family val="2"/>
      <scheme val="minor"/>
    </font>
    <font>
      <b/>
      <sz val="14"/>
      <name val="Calibri"/>
      <family val="2"/>
      <scheme val="minor"/>
    </font>
    <font>
      <sz val="8"/>
      <name val="Calibri"/>
      <family val="2"/>
      <scheme val="minor"/>
    </font>
    <font>
      <b/>
      <sz val="14"/>
      <color theme="1"/>
      <name val="Calibri"/>
      <family val="2"/>
      <scheme val="minor"/>
    </font>
  </fonts>
  <fills count="4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3"/>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0" tint="-4.9989318521683403E-2"/>
        <bgColor indexed="64"/>
      </patternFill>
    </fill>
    <fill>
      <patternFill patternType="solid">
        <fgColor theme="5" tint="-0.249977111117893"/>
        <bgColor indexed="64"/>
      </patternFill>
    </fill>
    <fill>
      <patternFill patternType="solid">
        <fgColor theme="9" tint="-0.249977111117893"/>
        <bgColor indexed="64"/>
      </patternFill>
    </fill>
    <fill>
      <patternFill patternType="solid">
        <fgColor theme="6" tint="-0.249977111117893"/>
        <bgColor indexed="64"/>
      </patternFill>
    </fill>
    <fill>
      <patternFill patternType="solid">
        <fgColor theme="8" tint="-0.249977111117893"/>
        <bgColor indexed="64"/>
      </patternFill>
    </fill>
    <fill>
      <patternFill patternType="solid">
        <fgColor theme="9" tint="0.59999389629810485"/>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rgb="FFA80000"/>
        <bgColor indexed="64"/>
      </patternFill>
    </fill>
  </fills>
  <borders count="18">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thin">
        <color indexed="64"/>
      </bottom>
      <diagonal/>
    </border>
    <border>
      <left style="thin">
        <color theme="3"/>
      </left>
      <right/>
      <top style="thin">
        <color theme="3"/>
      </top>
      <bottom/>
      <diagonal/>
    </border>
    <border>
      <left/>
      <right style="thin">
        <color theme="3"/>
      </right>
      <top style="thin">
        <color theme="3"/>
      </top>
      <bottom/>
      <diagonal/>
    </border>
    <border>
      <left style="thin">
        <color theme="3"/>
      </left>
      <right/>
      <top/>
      <bottom style="thin">
        <color theme="3"/>
      </bottom>
      <diagonal/>
    </border>
    <border>
      <left/>
      <right style="thin">
        <color theme="3"/>
      </right>
      <top/>
      <bottom style="thin">
        <color theme="3"/>
      </bottom>
      <diagonal/>
    </border>
    <border>
      <left/>
      <right/>
      <top/>
      <bottom style="medium">
        <color theme="5" tint="-0.249977111117893"/>
      </bottom>
      <diagonal/>
    </border>
    <border>
      <left style="medium">
        <color theme="0"/>
      </left>
      <right style="medium">
        <color theme="0"/>
      </right>
      <top style="medium">
        <color theme="0"/>
      </top>
      <bottom style="medium">
        <color theme="0"/>
      </bottom>
      <diagonal/>
    </border>
    <border>
      <left style="medium">
        <color theme="0"/>
      </left>
      <right style="medium">
        <color theme="0"/>
      </right>
      <top/>
      <bottom style="medium">
        <color theme="0"/>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53">
    <xf numFmtId="0" fontId="0" fillId="0" borderId="0" xfId="0"/>
    <xf numFmtId="0" fontId="0" fillId="0" borderId="0" xfId="0" applyAlignment="1">
      <alignment horizontal="center"/>
    </xf>
    <xf numFmtId="166" fontId="0" fillId="0" borderId="0" xfId="0" applyNumberFormat="1" applyAlignment="1">
      <alignment horizontal="center"/>
    </xf>
    <xf numFmtId="0" fontId="13" fillId="33" borderId="0" xfId="0" applyFont="1" applyFill="1" applyAlignment="1">
      <alignment horizontal="center"/>
    </xf>
    <xf numFmtId="0" fontId="18" fillId="0" borderId="0" xfId="0" applyFont="1" applyAlignment="1">
      <alignment horizontal="right"/>
    </xf>
    <xf numFmtId="168" fontId="0" fillId="0" borderId="0" xfId="0" applyNumberFormat="1"/>
    <xf numFmtId="169" fontId="0" fillId="0" borderId="0" xfId="0" applyNumberFormat="1"/>
    <xf numFmtId="0" fontId="18" fillId="0" borderId="10" xfId="0" applyFont="1" applyBorder="1" applyAlignment="1">
      <alignment horizontal="right"/>
    </xf>
    <xf numFmtId="0" fontId="0" fillId="0" borderId="10" xfId="0" applyBorder="1"/>
    <xf numFmtId="0" fontId="19" fillId="0" borderId="0" xfId="0" applyFont="1" applyAlignment="1">
      <alignment horizontal="right"/>
    </xf>
    <xf numFmtId="165" fontId="16" fillId="0" borderId="0" xfId="0" applyNumberFormat="1" applyFont="1"/>
    <xf numFmtId="0" fontId="0" fillId="0" borderId="0" xfId="0" pivotButton="1"/>
    <xf numFmtId="0" fontId="13" fillId="33" borderId="11" xfId="0" applyFont="1" applyFill="1" applyBorder="1" applyAlignment="1">
      <alignment horizontal="center"/>
    </xf>
    <xf numFmtId="0" fontId="13" fillId="33" borderId="12" xfId="0" applyFont="1" applyFill="1" applyBorder="1" applyAlignment="1">
      <alignment horizontal="center"/>
    </xf>
    <xf numFmtId="0" fontId="0" fillId="0" borderId="14" xfId="0" applyBorder="1" applyAlignment="1">
      <alignment horizontal="center"/>
    </xf>
    <xf numFmtId="0" fontId="20" fillId="0" borderId="0" xfId="0" applyFont="1"/>
    <xf numFmtId="0" fontId="0" fillId="0" borderId="15" xfId="0" applyBorder="1"/>
    <xf numFmtId="167" fontId="0" fillId="36" borderId="16" xfId="0" applyNumberFormat="1" applyFill="1" applyBorder="1" applyAlignment="1">
      <alignment horizontal="center"/>
    </xf>
    <xf numFmtId="0" fontId="13" fillId="37" borderId="0" xfId="0" applyFont="1" applyFill="1" applyAlignment="1">
      <alignment horizontal="center"/>
    </xf>
    <xf numFmtId="167" fontId="0" fillId="0" borderId="0" xfId="0" applyNumberFormat="1" applyAlignment="1">
      <alignment horizontal="center"/>
    </xf>
    <xf numFmtId="167" fontId="16" fillId="35" borderId="16" xfId="0" applyNumberFormat="1" applyFont="1" applyFill="1" applyBorder="1" applyAlignment="1">
      <alignment horizontal="center"/>
    </xf>
    <xf numFmtId="0" fontId="0" fillId="36" borderId="16" xfId="0" applyFill="1" applyBorder="1" applyAlignment="1">
      <alignment horizontal="center"/>
    </xf>
    <xf numFmtId="3" fontId="0" fillId="0" borderId="0" xfId="0" applyNumberFormat="1"/>
    <xf numFmtId="0" fontId="13" fillId="38" borderId="0" xfId="0" applyFont="1" applyFill="1" applyAlignment="1">
      <alignment horizontal="center"/>
    </xf>
    <xf numFmtId="0" fontId="13" fillId="39" borderId="0" xfId="0" applyFont="1" applyFill="1" applyAlignment="1">
      <alignment horizontal="center"/>
    </xf>
    <xf numFmtId="169" fontId="0" fillId="0" borderId="0" xfId="0" applyNumberFormat="1" applyAlignment="1">
      <alignment horizontal="center"/>
    </xf>
    <xf numFmtId="166" fontId="0" fillId="0" borderId="0" xfId="0" applyNumberFormat="1"/>
    <xf numFmtId="166" fontId="0" fillId="0" borderId="0" xfId="0" applyNumberFormat="1" applyAlignment="1">
      <alignment horizontal="right"/>
    </xf>
    <xf numFmtId="166" fontId="16" fillId="0" borderId="0" xfId="0" applyNumberFormat="1" applyFont="1"/>
    <xf numFmtId="0" fontId="13" fillId="40" borderId="0" xfId="0" applyFont="1" applyFill="1" applyAlignment="1">
      <alignment horizontal="center"/>
    </xf>
    <xf numFmtId="0" fontId="16" fillId="0" borderId="0" xfId="0" applyFont="1"/>
    <xf numFmtId="0" fontId="19" fillId="0" borderId="0" xfId="0" applyFont="1" applyAlignment="1">
      <alignment horizontal="right" vertical="center"/>
    </xf>
    <xf numFmtId="165" fontId="0" fillId="43" borderId="16" xfId="0" applyNumberFormat="1" applyFill="1" applyBorder="1" applyAlignment="1">
      <alignment horizontal="center"/>
    </xf>
    <xf numFmtId="4" fontId="0" fillId="42" borderId="16" xfId="0" applyNumberFormat="1" applyFill="1" applyBorder="1" applyAlignment="1">
      <alignment horizontal="center"/>
    </xf>
    <xf numFmtId="164" fontId="0" fillId="43" borderId="17" xfId="0" applyNumberFormat="1" applyFill="1" applyBorder="1" applyAlignment="1">
      <alignment horizontal="center"/>
    </xf>
    <xf numFmtId="169" fontId="16" fillId="0" borderId="0" xfId="0" applyNumberFormat="1" applyFont="1"/>
    <xf numFmtId="169" fontId="0" fillId="0" borderId="10" xfId="0" applyNumberFormat="1" applyBorder="1"/>
    <xf numFmtId="170" fontId="0" fillId="0" borderId="0" xfId="0" applyNumberFormat="1"/>
    <xf numFmtId="0" fontId="13" fillId="44" borderId="0" xfId="0" applyFont="1" applyFill="1" applyAlignment="1">
      <alignment horizontal="center"/>
    </xf>
    <xf numFmtId="3" fontId="0" fillId="0" borderId="0" xfId="0" applyNumberFormat="1" applyAlignment="1">
      <alignment horizontal="center"/>
    </xf>
    <xf numFmtId="168" fontId="0" fillId="0" borderId="0" xfId="0" applyNumberFormat="1" applyAlignment="1">
      <alignment horizontal="center"/>
    </xf>
    <xf numFmtId="0" fontId="0" fillId="34" borderId="16" xfId="0" applyFill="1" applyBorder="1" applyAlignment="1">
      <alignment horizontal="center"/>
    </xf>
    <xf numFmtId="0" fontId="0" fillId="0" borderId="13" xfId="0" applyBorder="1" applyAlignment="1">
      <alignment horizontal="center"/>
    </xf>
    <xf numFmtId="170" fontId="0" fillId="0" borderId="0" xfId="0" applyNumberFormat="1" applyAlignment="1">
      <alignment horizontal="center"/>
    </xf>
    <xf numFmtId="0" fontId="13" fillId="33" borderId="0" xfId="0" applyFont="1" applyFill="1" applyAlignment="1">
      <alignment horizontal="center"/>
    </xf>
    <xf numFmtId="0" fontId="20" fillId="0" borderId="0" xfId="0" applyFont="1" applyAlignment="1">
      <alignment horizontal="center"/>
    </xf>
    <xf numFmtId="0" fontId="20" fillId="0" borderId="15" xfId="0" applyFont="1" applyBorder="1" applyAlignment="1">
      <alignment horizontal="center"/>
    </xf>
    <xf numFmtId="0" fontId="13" fillId="39" borderId="0" xfId="0" applyFont="1" applyFill="1" applyAlignment="1">
      <alignment horizontal="center"/>
    </xf>
    <xf numFmtId="0" fontId="19" fillId="0" borderId="0" xfId="0" applyFont="1" applyAlignment="1">
      <alignment horizontal="center"/>
    </xf>
    <xf numFmtId="0" fontId="13" fillId="40" borderId="16" xfId="0" applyFont="1" applyFill="1" applyBorder="1" applyAlignment="1">
      <alignment horizontal="center"/>
    </xf>
    <xf numFmtId="38" fontId="21" fillId="41" borderId="16" xfId="0" applyNumberFormat="1" applyFont="1" applyFill="1" applyBorder="1" applyAlignment="1">
      <alignment horizontal="center" vertical="center"/>
    </xf>
    <xf numFmtId="0" fontId="23" fillId="0" borderId="0" xfId="0" applyFont="1" applyAlignment="1">
      <alignment horizontal="center"/>
    </xf>
    <xf numFmtId="10" fontId="0" fillId="0" borderId="0" xfId="0" applyNumberForma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30">
    <dxf>
      <fill>
        <patternFill>
          <bgColor theme="5"/>
        </patternFill>
      </fill>
    </dxf>
    <dxf>
      <font>
        <b/>
        <i val="0"/>
      </font>
      <fill>
        <patternFill>
          <bgColor theme="5"/>
        </patternFill>
      </fill>
    </dxf>
    <dxf>
      <font>
        <b/>
        <i val="0"/>
      </font>
      <fill>
        <patternFill>
          <bgColor theme="5"/>
        </patternFill>
      </fill>
    </dxf>
    <dxf>
      <fill>
        <patternFill>
          <bgColor theme="5"/>
        </patternFill>
      </fill>
    </dxf>
    <dxf>
      <fill>
        <patternFill>
          <bgColor theme="5"/>
        </patternFill>
      </fill>
    </dxf>
    <dxf>
      <numFmt numFmtId="0" formatCode="General"/>
    </dxf>
    <dxf>
      <numFmt numFmtId="0" formatCode="General"/>
    </dxf>
    <dxf>
      <numFmt numFmtId="3" formatCode="#,##0"/>
    </dxf>
    <dxf>
      <numFmt numFmtId="3" formatCode="#,##0"/>
    </dxf>
    <dxf>
      <numFmt numFmtId="0" formatCode="General"/>
    </dxf>
    <dxf>
      <font>
        <b/>
        <i val="0"/>
        <strike val="0"/>
        <condense val="0"/>
        <extend val="0"/>
        <outline val="0"/>
        <shadow val="0"/>
        <u val="none"/>
        <vertAlign val="baseline"/>
        <sz val="11"/>
        <color theme="0"/>
        <name val="Calibri"/>
        <family val="2"/>
        <scheme val="minor"/>
      </font>
      <fill>
        <patternFill patternType="solid">
          <fgColor indexed="64"/>
          <bgColor theme="9" tint="-0.249977111117893"/>
        </patternFill>
      </fill>
      <alignment horizontal="center" vertical="bottom" textRotation="0" wrapText="0" indent="0" justifyLastLine="0" shrinkToFit="0" readingOrder="0"/>
    </dxf>
    <dxf>
      <numFmt numFmtId="167" formatCode="&quot;$&quot;#,##0.00"/>
      <alignment horizontal="center" vertical="bottom" textRotation="0" wrapText="0" indent="0" justifyLastLine="0" shrinkToFit="0" readingOrder="0"/>
    </dxf>
    <dxf>
      <numFmt numFmtId="167" formatCode="&quot;$&quot;#,##0.00"/>
      <alignment horizontal="center" vertical="bottom" textRotation="0" wrapText="0" indent="0" justifyLastLine="0" shrinkToFit="0" readingOrder="0"/>
    </dxf>
    <dxf>
      <numFmt numFmtId="167" formatCode="&quot;$&quot;#,##0.00"/>
      <alignment horizontal="center" vertical="bottom" textRotation="0" wrapText="0" indent="0" justifyLastLine="0" shrinkToFit="0" readingOrder="0"/>
    </dxf>
    <dxf>
      <numFmt numFmtId="167" formatCode="&quot;$&quot;#,##0.00"/>
      <alignment horizontal="center" vertical="bottom" textRotation="0" wrapText="0" indent="0" justifyLastLine="0" shrinkToFit="0" readingOrder="0"/>
    </dxf>
    <dxf>
      <numFmt numFmtId="167" formatCode="&quot;$&quot;#,##0.00"/>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0"/>
        <name val="Calibri"/>
        <family val="2"/>
        <scheme val="minor"/>
      </font>
      <fill>
        <patternFill patternType="solid">
          <fgColor indexed="64"/>
          <bgColor theme="5" tint="-0.249977111117893"/>
        </patternFill>
      </fill>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0"/>
        <name val="Calibri"/>
        <family val="2"/>
        <scheme val="minor"/>
      </font>
      <fill>
        <patternFill patternType="solid">
          <fgColor indexed="64"/>
          <bgColor theme="3"/>
        </patternFill>
      </fill>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0"/>
        <name val="Calibri"/>
        <family val="2"/>
        <scheme val="minor"/>
      </font>
      <fill>
        <patternFill patternType="solid">
          <fgColor indexed="64"/>
          <bgColor theme="3"/>
        </patternFill>
      </fill>
      <alignment horizontal="center" vertical="bottom" textRotation="0" wrapText="0" indent="0" justifyLastLine="0" shrinkToFit="0" readingOrder="0"/>
    </dxf>
    <dxf>
      <numFmt numFmtId="167" formatCode="&quot;$&quot;#,##0.00"/>
      <alignment horizontal="center" vertical="bottom" textRotation="0" wrapText="0" indent="0" justifyLastLine="0" shrinkToFit="0" readingOrder="0"/>
    </dxf>
    <dxf>
      <numFmt numFmtId="167" formatCode="&quot;$&quot;#,##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66" formatCode="yyyy\-mm\-dd;@"/>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0"/>
        <name val="Calibri"/>
        <family val="2"/>
        <scheme val="minor"/>
      </font>
      <fill>
        <patternFill patternType="solid">
          <fgColor indexed="64"/>
          <bgColor theme="3"/>
        </patternFill>
      </fill>
      <alignment horizontal="center" vertical="bottom" textRotation="0" wrapText="0" indent="0" justifyLastLine="0" shrinkToFit="0" readingOrder="0"/>
    </dxf>
  </dxfs>
  <tableStyles count="0" defaultTableStyle="TableStyleMedium2" defaultPivotStyle="PivotStyleLight16"/>
  <colors>
    <mruColors>
      <color rgb="FFFF9999"/>
      <color rgb="FFA80000"/>
      <color rgb="FFD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2.xml"/><Relationship Id="rId30" Type="http://schemas.openxmlformats.org/officeDocument/2006/relationships/styles" Target="styles.xml"/><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[ExcelExpert_PracticeTest_assignment.xlsx.xlsm]Summary Chart!PivotTable1</c:name>
    <c:fmtId val="4"/>
  </c:pivotSource>
  <c:chart>
    <c:autoTitleDeleted val="1"/>
    <c:pivotFmts>
      <c:pivotFmt>
        <c:idx val="0"/>
        <c:spPr>
          <a:ln w="31750" cap="rnd">
            <a:solidFill>
              <a:schemeClr val="accent1"/>
            </a:solidFill>
            <a:round/>
          </a:ln>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2700">
              <a:solidFill>
                <a:schemeClr val="l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'Summary Chart'!$B$1</c:f>
              <c:strCache>
                <c:ptCount val="1"/>
                <c:pt idx="0">
                  <c:v>Total</c:v>
                </c:pt>
              </c:strCache>
            </c:strRef>
          </c:tx>
          <c:spPr>
            <a:ln w="31750" cap="rnd">
              <a:solidFill>
                <a:schemeClr val="accent1"/>
              </a:solidFill>
              <a:round/>
            </a:ln>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2700">
                <a:solidFill>
                  <a:schemeClr val="lt2"/>
                </a:solidFill>
                <a:round/>
              </a:ln>
              <a:effectLst/>
            </c:spPr>
          </c:marker>
          <c:cat>
            <c:strRef>
              <c:f>'Summary Chart'!$A$2:$A$14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'Summary Chart'!$B$2:$B$14</c:f>
              <c:numCache>
                <c:formatCode>"$"#,##0</c:formatCode>
                <c:ptCount val="12"/>
                <c:pt idx="0">
                  <c:v>459.8</c:v>
                </c:pt>
                <c:pt idx="1">
                  <c:v>1306.6499999999999</c:v>
                </c:pt>
                <c:pt idx="2">
                  <c:v>299.10000000000002</c:v>
                </c:pt>
                <c:pt idx="3">
                  <c:v>139.5</c:v>
                </c:pt>
                <c:pt idx="4">
                  <c:v>202.1</c:v>
                </c:pt>
                <c:pt idx="5">
                  <c:v>1211.3999999999999</c:v>
                </c:pt>
                <c:pt idx="6">
                  <c:v>518.65000000000009</c:v>
                </c:pt>
                <c:pt idx="7">
                  <c:v>574.15000000000009</c:v>
                </c:pt>
                <c:pt idx="8">
                  <c:v>1161.72</c:v>
                </c:pt>
                <c:pt idx="9">
                  <c:v>504.09000000000003</c:v>
                </c:pt>
                <c:pt idx="10">
                  <c:v>678.42000000000007</c:v>
                </c:pt>
                <c:pt idx="11">
                  <c:v>117.9</c:v>
                </c:pt>
              </c:numCache>
            </c:numRef>
          </c:val>
          <c:smooth val="0"/>
          <c:extLst>
            <c:ext xmlns:c16="http://schemas.microsoft.com/office/drawing/2014/chart" uri="{C3380CC4-5D6E-409C-BE32-E72D297353CC}">
              <c16:uniqueId val="{00000000-9A37-4252-A5EF-B89096D7C6AD}"/>
            </c:ext>
          </c:extLst>
        </c:ser>
        <c:dLbls>
          <c:showLegendKey val="0"/>
          <c:showVal val="0"/>
          <c:showCatName val="0"/>
          <c:showSerName val="0"/>
          <c:showPercent val="0"/>
          <c:showBubbleSize val="0"/>
        </c:dLbls>
        <c:marker val="1"/>
        <c:smooth val="0"/>
        <c:axId val="1180561199"/>
        <c:axId val="125790175"/>
      </c:lineChart>
      <c:catAx>
        <c:axId val="1180561199"/>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25790175"/>
        <c:crosses val="autoZero"/>
        <c:auto val="1"/>
        <c:lblAlgn val="ctr"/>
        <c:lblOffset val="100"/>
        <c:noMultiLvlLbl val="0"/>
      </c:catAx>
      <c:valAx>
        <c:axId val="125790175"/>
        <c:scaling>
          <c:orientation val="minMax"/>
        </c:scaling>
        <c:delete val="0"/>
        <c:axPos val="l"/>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18056119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'Monthly Trend'!$B$1</c:f>
              <c:strCache>
                <c:ptCount val="1"/>
                <c:pt idx="0">
                  <c:v>Collisions</c:v>
                </c:pt>
              </c:strCache>
            </c:strRef>
          </c:tx>
          <c:spPr>
            <a:solidFill>
              <a:schemeClr val="accent1"/>
            </a:solidFill>
            <a:ln>
              <a:noFill/>
            </a:ln>
            <a:effectLst/>
          </c:spPr>
          <c:invertIfNegative val="0"/>
          <c:cat>
            <c:strRef>
              <c:f>'Monthly Trend'!$A$2:$A$9</c:f>
              <c:strCache>
                <c:ptCount val="8"/>
                <c:pt idx="0">
                  <c:v>Jan</c:v>
                </c:pt>
                <c:pt idx="1">
                  <c:v>Feb</c:v>
                </c:pt>
                <c:pt idx="2">
                  <c:v>Mar</c:v>
                </c:pt>
                <c:pt idx="3">
                  <c:v>Apr</c:v>
                </c:pt>
                <c:pt idx="4">
                  <c:v>May</c:v>
                </c:pt>
                <c:pt idx="5">
                  <c:v>Jun</c:v>
                </c:pt>
                <c:pt idx="6">
                  <c:v>Jul</c:v>
                </c:pt>
                <c:pt idx="7">
                  <c:v>Aug</c:v>
                </c:pt>
              </c:strCache>
            </c:strRef>
          </c:cat>
          <c:val>
            <c:numRef>
              <c:f>'Monthly Trend'!$B$2:$B$9</c:f>
              <c:numCache>
                <c:formatCode>#,##0</c:formatCode>
                <c:ptCount val="8"/>
                <c:pt idx="0">
                  <c:v>9506</c:v>
                </c:pt>
                <c:pt idx="1">
                  <c:v>8986</c:v>
                </c:pt>
                <c:pt idx="2">
                  <c:v>7241</c:v>
                </c:pt>
                <c:pt idx="3">
                  <c:v>2598</c:v>
                </c:pt>
                <c:pt idx="4">
                  <c:v>3953</c:v>
                </c:pt>
                <c:pt idx="5">
                  <c:v>5012</c:v>
                </c:pt>
                <c:pt idx="6">
                  <c:v>6128</c:v>
                </c:pt>
                <c:pt idx="7">
                  <c:v>5716</c:v>
                </c:pt>
              </c:numCache>
            </c:numRef>
          </c:val>
          <c:extLst>
            <c:ext xmlns:c16="http://schemas.microsoft.com/office/drawing/2014/chart" uri="{C3380CC4-5D6E-409C-BE32-E72D297353CC}">
              <c16:uniqueId val="{00000000-27F4-4EC7-BF3B-C062D11DFB46}"/>
            </c:ext>
          </c:extLst>
        </c:ser>
        <c:dLbls>
          <c:showLegendKey val="0"/>
          <c:showVal val="0"/>
          <c:showCatName val="0"/>
          <c:showSerName val="0"/>
          <c:showPercent val="0"/>
          <c:showBubbleSize val="0"/>
        </c:dLbls>
        <c:gapWidth val="219"/>
        <c:overlap val="-27"/>
        <c:axId val="127097983"/>
        <c:axId val="1171852399"/>
      </c:barChart>
      <c:lineChart>
        <c:grouping val="standard"/>
        <c:varyColors val="0"/>
        <c:ser>
          <c:idx val="1"/>
          <c:order val="1"/>
          <c:tx>
            <c:strRef>
              <c:f>'Monthly Trend'!$C$1</c:f>
              <c:strCache>
                <c:ptCount val="1"/>
                <c:pt idx="0">
                  <c:v>Injury %</c:v>
                </c:pt>
              </c:strCache>
            </c:strRef>
          </c:tx>
          <c:spPr>
            <a:ln w="28575" cap="rnd">
              <a:solidFill>
                <a:schemeClr val="accent2"/>
              </a:solidFill>
              <a:round/>
            </a:ln>
            <a:effectLst/>
          </c:spPr>
          <c:marker>
            <c:symbol val="none"/>
          </c:marker>
          <c:cat>
            <c:strRef>
              <c:f>'Monthly Trend'!$A$2:$A$9</c:f>
              <c:strCache>
                <c:ptCount val="8"/>
                <c:pt idx="0">
                  <c:v>Jan</c:v>
                </c:pt>
                <c:pt idx="1">
                  <c:v>Feb</c:v>
                </c:pt>
                <c:pt idx="2">
                  <c:v>Mar</c:v>
                </c:pt>
                <c:pt idx="3">
                  <c:v>Apr</c:v>
                </c:pt>
                <c:pt idx="4">
                  <c:v>May</c:v>
                </c:pt>
                <c:pt idx="5">
                  <c:v>Jun</c:v>
                </c:pt>
                <c:pt idx="6">
                  <c:v>Jul</c:v>
                </c:pt>
                <c:pt idx="7">
                  <c:v>Aug</c:v>
                </c:pt>
              </c:strCache>
            </c:strRef>
          </c:cat>
          <c:val>
            <c:numRef>
              <c:f>'Monthly Trend'!$C$2:$C$9</c:f>
              <c:numCache>
                <c:formatCode>0.0%</c:formatCode>
                <c:ptCount val="8"/>
                <c:pt idx="0">
                  <c:v>0.21992020718135369</c:v>
                </c:pt>
                <c:pt idx="1">
                  <c:v>0.22193802981584332</c:v>
                </c:pt>
                <c:pt idx="2">
                  <c:v>0.21524825902143438</c:v>
                </c:pt>
                <c:pt idx="3">
                  <c:v>0.24562682215743439</c:v>
                </c:pt>
                <c:pt idx="4">
                  <c:v>0.30476500243942106</c:v>
                </c:pt>
                <c:pt idx="5">
                  <c:v>0.35596113445378152</c:v>
                </c:pt>
                <c:pt idx="6">
                  <c:v>0.34731707317073168</c:v>
                </c:pt>
                <c:pt idx="7">
                  <c:v>0.35006287870126901</c:v>
                </c:pt>
              </c:numCache>
            </c:numRef>
          </c:val>
          <c:smooth val="0"/>
          <c:extLst>
            <c:ext xmlns:c16="http://schemas.microsoft.com/office/drawing/2014/chart" uri="{C3380CC4-5D6E-409C-BE32-E72D297353CC}">
              <c16:uniqueId val="{00000001-27F4-4EC7-BF3B-C062D11DFB46}"/>
            </c:ext>
          </c:extLst>
        </c:ser>
        <c:dLbls>
          <c:showLegendKey val="0"/>
          <c:showVal val="0"/>
          <c:showCatName val="0"/>
          <c:showSerName val="0"/>
          <c:showPercent val="0"/>
          <c:showBubbleSize val="0"/>
        </c:dLbls>
        <c:marker val="1"/>
        <c:smooth val="0"/>
        <c:axId val="1098622511"/>
        <c:axId val="1098624431"/>
      </c:lineChart>
      <c:catAx>
        <c:axId val="1270979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71852399"/>
        <c:crosses val="autoZero"/>
        <c:auto val="1"/>
        <c:lblAlgn val="ctr"/>
        <c:lblOffset val="100"/>
        <c:noMultiLvlLbl val="0"/>
      </c:catAx>
      <c:valAx>
        <c:axId val="1171852399"/>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7097983"/>
        <c:crosses val="autoZero"/>
        <c:crossBetween val="between"/>
      </c:valAx>
      <c:valAx>
        <c:axId val="1098624431"/>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8622511"/>
        <c:crosses val="max"/>
        <c:crossBetween val="between"/>
      </c:valAx>
      <c:catAx>
        <c:axId val="1098622511"/>
        <c:scaling>
          <c:orientation val="minMax"/>
        </c:scaling>
        <c:delete val="1"/>
        <c:axPos val="b"/>
        <c:numFmt formatCode="General" sourceLinked="1"/>
        <c:majorTickMark val="out"/>
        <c:minorTickMark val="none"/>
        <c:tickLblPos val="nextTo"/>
        <c:crossAx val="1098624431"/>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title pos="t" align="ctr" overlay="0"/>
    <cx:plotArea>
      <cx:plotAreaRegion>
        <cx:series layoutId="regionMap" uniqueId="{E53ABBD8-8BFE-4C06-B11F-F3002241668A}">
          <cx:tx>
            <cx:txData>
              <cx:f>_xlchart.v5.2</cx:f>
              <cx:v>Orders</cx:v>
            </cx:txData>
          </cx:tx>
          <cx:dataLabels>
            <cx:visibility seriesName="0" categoryName="0" value="1"/>
          </cx:dataLabels>
          <cx:dataId val="0"/>
          <cx:layoutPr>
            <cx:geography cultureLanguage="en-US" cultureRegion="IN" attribution="Powered by Bing">
              <cx:geoCache provider="{E9337A44-BEBE-4D9F-B70C-5C5E7DAFC167}">
                <cx:binary>zHxpb91GsvZfMfz5pdN7sweTC1wuR4vXxPZk+UIotsx93/nr70PZ8atDMWI8EyAjBIh9jqnqrr2e
quI/P0z/+JDd3jRPpjwr2n98mL5/GnVd9Y/vvms/RLf5Tfssjz80ZVt+6p59KPPvyk+f4g+3331s
bsa4CL9jhIrvPkQ3TXc7Pf2ff+K3hbfli/LDTReXxQ/9bTP/eNv2Wdc+8t3uV08+lH3RrY+H+E3f
P31TNl0f3mRPn9wWXdzN7+bq9vunZ//o6ZPvtr/qAdknGU7W9R/xLDfPlM2o0VI/fZKVRfjlc0s/
M/jC1oabzz/4/jPRVzc5HvwzR7k7yM3Hj81t2z758v/7T54d/P4XcVu6n2/ulusp37y7u9Z355z9
n39uPsBFN5/cY/6WK0dfbXn/trqJi9958J8zXpBn3BBKFP3CX/uc//yZlIIrRSn5/EN/p/2Z/4fH
2Wf+l8c2nP/y6Zbt/tv/AraPtx9v/0K+Syi8FkYzyT4z/pzvVDyTjNjS1vKLXDZsPzzOH/D9y3Nb
xn/5eMv5t/7fz/lTc1N8uP39+n+BxqtnigmbGHbuatgzIW2uFXzNLsuPz7HP8t+f27D894+3LD/9
+Pez/OK2yW+K+a/juaTPiKHG1op85u056ymckE1som1718n8ifPs8/7rgxvmf/18y33vv0Hh4yK7
KT7+ddxX/BkTSmslv7CXnfl4Jp8ZBvFIte/iT8fn2ef+1wc33P/6+Zb7p6u/X/evupvsL9R8gQDK
pJTEFl9V+15+Q9kzesf2L5Ihm/B6eJp9zn95bMP3L59uuX71X5DVOLdZGPf5X6fzkjxTghj51Z2f
exzxDCkNQ3z9ne/8d9Kf05o/cZ59zn99cMP7r59vue/8F3gc77bIb5r0dxb85zFWri5FKZsiibn7
Ofc49jNjqK2M2XD9T5xjn+tfH9xw/evnW657z/9+T/O+iLvbj0+eo3T7WP6Vqs+fGcFtzn4vmc5T
S4shpScS1iG/+HsI535J9efPtS+M7fMbmWy/3ormwvn7RfO/fds18c3vfPnPDULoZ8jliSbi3A8h
z6dwU7bNvwhj4///xEH2hfD1wQ33v36+Zfv//hdEgVe3XXTbrMlP+9exXjJkP1B3LXYrLYlqQBlU
YuaLNWx80p88074Uzh7eSOLsu600Xr34+43gVdmMN39hKoSS11DOOUGmf/cDXb+fCpFnmttGGbir
++7o+Bh/wPsvx9+y/cvHDzj++u/n+Nsx7pbPBvA7D/4C16Oe2YQiGADlufuBgt9ju/2McWKUUL8D
DXBQ99n/J8+0L4OzhzeCOPtuKw338q+Qxh+jcF+xSO+mu/HvQMx7QNzj395dFcjq5tEvXNsV2GeG
Xn38/ilj0Pqv0Oj6Kzbcvg8zfX3g9qbt8CyCBdJWG5U0B3AkbfX0yXi7foMC2gA+5QZBRhDGhXj6
pABIG33/VJlnBKJVCD2UoMZj8umTtuzXr5ClcW5rZpAHc2MjZ/iKGr8pszksi6+M+PL3J0Wfvynj
omu/fwozrT7/q/WYSOZwAK2ooiuKQghdv/9w8yOyG/xj+v/6jEeFGY1wrWqa/a7q9Q9ZqltPRAu7
zBsafGJJqfyWyCT4nAJ8hll3SOMKD0jbhlEAxQJnEGDxfdIsD2vTppV0dWNTJ2eiehkPbezZFS2u
74njT5OSkAKSWwWGnpMiTESULYV07VHUXp5OixvXVe1ZgzUe3Aoye3ArQwxXTFPKYMDnpGiYpQ1v
cSsaR+J67OXsiVrMrx6/0J7YDOeCCsmAwBiY/33e9XkYJkFVSrdalLns+BychplU131f1FcBs4fS
mdqG+0WfTPTghuvv3qqM0QLOh1EhoLYb2jVTWZLU0q2tri2cXjTFVU6y8jTk3HLLMdZuMNq9+/iN
97TFQHrUpqBr5EZbTDZWY6NANe6y2Q3JPLl1HxeXVZO2nwGKP1TMVUSbCzIiudIc1SZiHzm/oN3R
eKa5Em7N5ih3mp7zk1KR/kE16eQJFg9eZGeBb+xmehlULfcfv+qOCkFxVn/AcF25Ip73hVvEUULt
DMIdpiZ5zkrTKRfC7OQBHTieB/dkXGqbMKa4WJs49+kMpJ9MmCTS5Uu2XFUdJ45lq/ZFVUSN15SR
/dnd/yFfd0TIAGkRGKFAwiC3fLWmNOgTLdyUUH6pwnFw5lnN72W3JAc6ukvKJkIAnFQKZdX51TLB
CK/sXLrTWH/ImkpfhHbW/RDJlB1Q2lMWDkLGaIK2wFYvgyExbSNjMHG2K1/zhMauykP60jakfZdP
ZLLdUVbRv0ga0Bf1QHLvcW3ZMUfGKeWaKkmQFW+kqK2CJhaLpBtVzHpngj52tY7mq7rLp/f90Nqe
HZjsQJQ7/gcaSpU2UlOEoY0PKKe5mkIG/pYxVU4dlpGbo1o6hdNoXaeV1V/0jZGnqo+bT49fd0+y
XIO2oRoxlW38az7EU99ltnBZwRYno728WLJUenZtrAPO7l7SEBTkRNhCbPWVtiV8KA2E2ylTerRe
kqtJTfS3qh3Uy7yf4zdDZpnUiSshjsLIzjXhfbgiUnNBbL5xd3EskpBUUrhFlGSXLYsTr6Um9WNa
RgeypOvv2vg7rtBDkXpFPNXW37Xc6JQS0AobO/JMnfWOVSz9CaF0ccicvciCmF2Mba3e8rwkPk30
R4tE5YHbpav9PzgH+MxQ2NmSi9Vf3ctFiG2GYYlwjohPUOcgej/owvhxFIbOUtXESyKZu8IkvyZj
Xp+sntw+rls7DhEpGpIitK7RW12TrvsH6PpiCUkkhNsWXe1Nlkyf87SPTkpMxSnlTfTtMY1rKdDW
WhNEbjYXrorFDEKOULByqk8krrhHZBj7IbHsA13ecVMCaSgyBXmX8G2utgxWQ2SQCzcLstAt9WAz
R9B5fKvGvrkKcqkuaz1Ut7oas9fNkMsDN7mjz4IizUU4VcIQvdHneWCkLawMOib73O2FpS5neCnX
InN98bgUd65q22tebBTh0NuNh6iqbiiIFQlXIwS9ngWPPR0MlZOMUXvKQsFcJknop6KznSqNav9x
8qvr22jxffJqE+WqZrHCcrY4QvaqsiFJT3U7lwfyPFfVu0xdQZLIhbjG3+RGdYiaxyqaeeUXGY0d
znL1k9Yh90pDAj9IVfoZSv3D2L1Lj0NyyGsRbsiGXpUVHeszU/mqaFrPNO3oNVUBcY7xjYns8OB6
5zK8u57N0VlEI0BTI+xNUCMsDEii+84nVUuchKXhaVnYTVqJ4NQOhD4Xpio91fehFyHPPvCI5yH1
C3VENwo0HIXWWvzd9wNWT0kbZ6LzA0k7eKOZOylT7XVPZOPH2Uj9Rrb8zeN6s0d0LRKhuUygeNhc
mfahNTOaNP5Ik/wqK8bMJ61IfEOW9JO2k/QHvfTjgVjPQ9zdTc2KKHNEUgJAbZMnBUmW2GlaNb5V
y8VJ41JextWsXFIvOnY6XU6OCVl/CpeKHzB5R6MMrBPTT0icCIrAcyb3AUaU8mlo/LwLI7ezrPBF
VxnjkkFTn9ULuXqcv3tXpRQVoEKehDC32u296KKjLkkYGxufkr5ypzjU11qOtVtNSr3IyqxO3I5b
zY9V2rEDP797VY2sBXUukt8VAbhPOousXAcRRDvrMXmui1o6mCCb/tXjEH4yT0espQy/8P/7oM9i
xVgWHJxBMw2jEecEycBUUYSi8auKm1ORK+lXKlqoE8qlel9qVdtuxTSJnUWY6DYqbPMmCRDRecBn
nw6jPkoYN0nG5yMBRgHKYCOwAvM4P1JqTVm8LG3j63x8D/uyTyYEzhAmsnM7w1Jnaph6kYSc+zZp
JnjrkZ9sEfUHnuU8EH0+B0f6jwE1oJbIXs/PoeOciyETrT/1IgXleblOx9D2qCrjA+NaNWorBYnu
AUPIwwQF24jdMgWJxiHp/DzU5qUYWXkxBFX38+N6vadckmrOV5hoLUPOL0QR6aJZlZ1vGpp7LDbZ
KSMzfU961XsTKZJvS00/cxAwllTwU7YECnBOsAuiWsek7vypyYpTv5Dp2th8vBp5El18+90UkiM0
JW3GoMznpGoeFnPSQ1hZVtd+RXRxuRTd7IiwN144d/XpcXp7yqEAuBE0mTH0Ym98UtvM+Vhy1fp1
M4ynXsvuslKmcgMWpAc+Yc8dIetTAhUx9INtPK+YCNCTKOr8rlTMa+VSvCtbO32diZA5KfJ1N6FZ
GDndFKQHudgdqLdVTIXsCHU//rPJxhaXCiM/s4pb386VfdWaRfhTzHp31kN3YpbVv4vnNvgwx1F7
GWWLIZddGKcnqyt15ERBFrzuItK6+RRq+7nKWF46woqCK0G7xlWZnu0DS9pJB1CESWkUtGHtx53r
QcDaoGamb/2xSOlLY08vJk7oG1MU0espnPrXJLb4TdzOxYkXk7l8XCt23CnaTAC8NJXohEAXz8ln
MpkBZAbwXVFqOVnUB8of6kSGXmyVirrR0rLQsYLW3FSNpby277vWsUViX5isaN4ncuH/evxMDzmC
4Im6e83okS7cudt70UxUVT10Oq38wA66k45624kS3V0vcmS/1mTm71OW2T/kTTv/MFex+uVx8g+1
d43dCiwBdovkYZPkDqLioylbAB5S166sU+OCQ/yCtb11XZelfblkbejQuSkOTHRTJa7uB/0oeG+M
AkoArGr1h/duvgBH0aK3QNpodVnJdrlAwCL8oq7C6pO2FnXVqjF8Ppmginw+KPaaxmR8/zgDHnoK
gxEg+HWupMQY3MbrRjqgS1nMpc+tSnsiYxSWSpPXei7nq3+HFFyoUchF+Vb7YMVl2QUglS6i+62x
GukHbdNGDqxRHRjanlwVkCQbqm5TrTeGNqap5AkfKl8S1i5OEoxF5vJOaWcO7OXDki/aqetJT8jQ
THPkmPaUGuESHtgwZB/2JrJMSd7OqYkqv0kj9jxQke3GJCRuwPPCTVlgXaKKtS5T24qei4J+7sZ+
Q4mD8RYUG8Bb7oLpJjNIAlnrjmWVn/R28SqshhHpUaTY80WS8pJm6benhZjgU2jmgNPoTWwL1WEe
Om4LK/cT1YSXcW0NbtZOkrqdnpbncUin8sDzr1p57vjXmUGyzicrQIX2RrwBr/QYByb3B4BLXo+A
/XJOcg2crg2eJxUA4MGk6b9hsQyqBIgZdFHTbcLNUFaJzYa09HXXBRc8k+nLibfhaZKm+cGSvb6u
zZBRbwyH1kvKLn2lumj8+M1WhEhnGwOodp1w2hyitVlh2rAr/UYM9LeZDvkF11N+YrJpDnzD6oE2
XEZ8Rgdo3Y1AA2/D5YXQVU2b2h/SPrxtmSmui4BNDu9I48k2WeoDse75xDXHRF2zYjxcrYZ1zye2
GSvD2S5qHxjwID2r7oIcsG/6LpBWMDskE8OvNXxp5cfAgC5aqYLO42GgM/+buYy1A42ZYaTWXJqN
DeGbwcpkXPvw3WZyM9OgBzYJ6vGgBrb4OLEdbcZVJbRKA0JDKDq/9WLzoS77ofbTuZMv+zznbxY1
ysvUmB/g/EN/sGJy+TjNVXZb2WqBponhsFqM557TlNKiYzzjgmFa0zfjIAMPnjv/8DiVHTcMWGdd
n0FZDox7c7OkxMnlLCu/Nw13546n10Eat+6ikY65fMR3TjL1WXWx2FHyb6gv0l94CHSfuP2g/cRV
E8lJI9/mQfsir+LBHaIhmNxCTPRCReWiDvR3R5DIItZOJrB2aPD2ut2gy4YHlW/rvHeqrqhdO9Lj
L1kVfCTtEIdOOFjs21UVpmnQ+wXeLInYBJtsIAvJZ8B/lY6nqzw19qtuXIofKywc/Py4OHccArST
MoQW6Cl4e640vGppZaUa+SMvUreqU+oUQW49p7GdO6Eqi4OMYSeOCo3RcIkpNQBK254UZKUT285a
nyVR5SYChoFidNZuzCPldaocXzS0KRFoumDyl3nWB1jW/gFsVDWADKFHmwvLQUcIZDhAvwTFr02Q
9S9YjTrGxqTCi8qI2JGTHTp9ocufk4b99O3sxvAMwA80UZGobKgnfZaQsW9bHxnG4nSBXUdOW6Et
PQxsuobDzy8eJ/iwQFj7mhx2CoAHf7A3/lfnQNikzIxnL6m+jNMqccNpoh6xpndFUvCrIeond14s
y5msPPnX3Fuxm0ym8mrLHj7POP1hHvPAReEw6OlqoLQCoyVbAJqkY90b0RkvrsfuZTMl0pvtQJwe
v/MeFZSJcIOcalTMG08fmLSY01HZHtfZckq6ZHHqoTnqTcmtu2UMWa+NXundDNo2npS4I1tCxryp
iHI3n5v8ijZydMqIh5ePX+ghKQ5UkAkEEszcYLTw3EirUMO1KcK8xoTFLyMs4709t9od61gd1P47
pJDtCfRqkWkTjImckzJT3gFym5lXB+EyO5UV953Dk7Do3KkUc3Lg6VZ9P4tZAOzR9ll7pkogA9sU
a7Kx7TEeBfeaWf1m5cHgy3GuTs2g0QDJR+uAkQ+MH5TQPVurdUAo8EDnt6PpHPJFTwxdlyjy4kLV
r5Kk6F6TUQ4vSdm21xj8ySMvaKPlcmgaSxyZ40phc2GMpmg4aiOxS7DOVd1Ph3RVVjIWPfMGONjW
DWmgZlcHk/gpGuw+cXPR8J9Esgh0wvJ6SDEMlMxIiieaRw5Pm6k5CHBrAHtwIJRUlGiMgAF+PD/Q
WNVLSrOce3ZriV/tiiVO04X1GxZmP85Wu7zFFEl3G01UHmjajuiRilIgwErif9tppLxVrdXV6ENl
ZTxfjxlXXk3C7nmiuHVKllYd+J6HMC9cvoH9oI+K2TK0FM5vavqF91OvFg8wGgCThmJaxs2XBtab
ZX2bOK2sUF5OwcgGb0aPp3XQRsoslyRB82kgDOjeN9s1ToRJEI7OlUC2eH6imfYsL+ChPTbPyVVZ
68qtyGx8WHl3QOphHr6O0yDMQ8yA3xH/zmkxVtAmJPbscXTn/MSOBn8s0+H5PIjilBvAeYM1FP6y
jLMXD13iBnPbfrvIkZ0aVDrrdNYDCQwWKfRQ8NnrNa2vyoBmHgtE7Fc1Cuuxz8ID77Jj7kAS0bLn
ElMSd6vg940tbrMxVqkkHhdR52gZ1S+pVVvXrV1Yt7TlvPaFZeofMCgyje6C1FYcsH1HyTG0sKY7
QKQBz/FzridBDDR1gZIDE0uvGemYMwXt8r6Y2HI7lqaMD1i8Y85YAwYirYHHULW1qjFn6WyCgHqp
RcboOg15dM1zK5WupWTduGgE2bVTlHkaYzwu6I8Q+B2Wo/RABMGuscGV1/PdK/eiRGJKwI6IZ9lL
ciLZ0i3O3GTqolJ9JZ1A6uZtVrHgombD4mZz9G/ESiQYAgy3GcYKtgwQWdJgMrFZvHHsmZP0NHVK
Gk6+zaPRe9x8d3Ir7OABDMLMGHwL3+aSUzhkqals4U190YReWi3cH6H7L+yoCZwwSfUvbcEbz44s
+zLNTCaQY1H5am50442yi14+fqCHwkdI48AdGVAE/HETTWfAfHRAC8+TIqxehrGaLpHRNk4/LNl1
UbSV20fNcAFs+ogVD1MuIFOAexHI0UUTW8wx5cipJzNJb2pFfKkzOVxbMMmDWdmH1oQUaB07XrUL
K0cbHxbPaG1XsZAezIq9tcOaXSR1JLyE18JLUziQA/N9mA2BHFJWvMsAbRe2bcxaUYtpZx4qb1jS
3CuCafE5b2MHkq5Oj8tulxQaZQD6tGLI9M4NZ8x627KzQnkIxtS1ext200batSd95BZ32YjsAw7J
cExNbHKQJWxii0aB9MqUv5j6JDzFPOP+YAeDW8VJfOCF97QSuR1GgdEsW1GD85sRZo2Loqju2FxX
7zAQnJ1gupXbsTb5sVqsyMkpDy5KVSQHznD3ohpYF0yToXrf8HRBN7XgwwiexrRxh4qnGLqMyEuM
o2eX6JccdWN26a1rP1xw4LXbZjq1y2AOgYN5Bq3NS63G/J0JJeq6LCiuVFw1Hx/XmYfOFsDaauyY
6sFepNg42yQP44ymoDcqMJCFPHaiWTYvxiUXp9CkyrH6Srl2Y9KrjsqjOmvvuuuSh4R0gTuxjTl2
U5XzNAN7WTWbyyCQ/AIjTSFAeSOulyk86o+v4jpPVQVabHh7i5LrwNa2A1DNYyrCoVFeGiTNyww9
7LdWqzhyxy7weNvpU6jCo/x4lyhKOew5ULTkt3gXXwxQYbtUHiYuxbUJeelGCZKnyp6Dy9ka6oux
6tjp2wWrUVaiZkflx+xtnTIl3NRjIb3WDsrG7WncnFrMpAiHRoP6lJIwH1xC4xTDMXFBHNHo6N3j
R9gTLgYAAZUiiiKWb7LlLprHpYuY9EjQyety4oO/UCvwKmvpvL7vjiqjPXrAoVCVIYwADN94CTPZ
WZYDWvQsxucPJE/oCdOe5S8Uk/XcadMy/e3xC+44XMBemBNYMQKF6bFzt5RmpCrznnNvbClHYJzj
k0TK64e6//A4pZ2rASrAvhTshCOQbPxt0qV5RstFexXGrJO2uCkXGftxnORuUquj7v0ONcxcY+Ia
WQmGtugm5SzTzJqWmGiP9Bw4FgckoXtOvTqdGq/touEg6XhIDx4IKzKY019xg3UF+37G19RBlCsr
Dv1pptlJI0C7Y2JZbp4kozsFw3CQBNxtxJy7AYVpHXR4kdujlCEbglU22AsnKBaaYmYfJhHbH+yl
zX/Ix4G8IgsXv+ZZNbyJoiS8iqu+Ti8CbaITyePxBVoRBI2GonUzO7B/QgKLevdxaa/S3B4P1Y3A
2hQScUjinB+GW+iJF1HgKZapS1hm5bI5G68ep7LHdViKgO9HIEe+f06lLYcJuxhz4MXJWF5UbRlf
6Vy/y7VprzqrO9Dgh04QLTkEGIOZIYqZofU097J6jt4fMsc28NKpHVyG0XLXBCV3SFhMp0jq3Meu
1tEc6UMDBSSEvAFSRoCD9ZwTFTxpk0gtoS9IRly65JGbpKE4Ic345nYNUjtkzUhRMAm3Am3npMrB
LNSuWtTFWTRdd6HWjlB16S9ZlTrpSOrnS2mOIsvO/SRqQ7gfLEesA8HnRJMpmtB1UzHG7CRmW0je
Y2RV92/zrusO+sd7pNBb1OxuYw/L4eek6twOozRgEQB1yj9VgaoLR2FXAKYgpvTicdXcM1C84wtR
w0YliD9sLACVnxrHsYh9XUzlbaWG5vU4Ln3mDuhRXZCcVwjUYo7cyWbNB9IXpd8WWB70xnLGrEKH
UGNG0b+fwzF6WWO+xn/8gHcZ58ZEJcAQDNHCSgmgznN2lFnGg3CyIn8a5qx0Gsrj65hV1uskliRx
2zGrnHjK2ZtlZNWroBnjl60o4ou6btnLmpfza5OYEPMVmEmdSBO0TlI0/WtmRcUvTFqcOcga0Mus
renAudx5783R1+YXliEApaMBtrHESmCqJw+6yO9J8basSHZF6zRa16Qit9AYAYrytrtI+4o5o067
CwtBFcsJvf0qK1joY2akOuDmA08EX3e3DAzMAZF0Oyy7zogVY7QINxl1dBUWaTs4owCCmJqW/yhJ
kJ8eF98eQZgLAgAaVyuwcy69oCtKq58s4QKCF5csavl11bPJ01lRXlVDdKTPD4wHu24gg/lcgGd4
5dH6/T3np+ulFzLAGpWIx/FUY10F4wmYR1hGe/Iev9qDUmlt+K1UsI7AMQG3SeiR9FrJIDG7Poy1
bJwWKNEnSrFZCGC0R88+JZcmt0avKE17QHrnlkYg84KXxygP8qHzW1ooxtq8qoU7Wb3tY00r8zj6
1q4Qff/j47d8ULaAAuwPMKBe++PbLi7vkgZQFBYuVDwuvhXUGghFMHlVrhdntMfWy/K5/DFi1uDZ
YX40WP4QCAZ9vc6aIKnHS6y2G2IRKGJuKAF9rPR4bUD62DHtkFxWWiXEqdA/jz3YUdCeYjrSd6Yd
55eprurLMA1G93FmrNp6ZtDrYTDUg5VKABtoa5/zvcIUBNUhtl9CZnK3rqj2irZov91I171YW9t8
3VDb7myROhpYoEvhYpZ/OPWmqBwLQ4uOXQ3GS0t+VBru3gq1Glu3Rdd6+PxWMxZE9IQxZpejo3A1
FmHxoq+H7IB3D9KSlXcoGtYhN3jEbepJxxxjImMrXPjc4CMvkXTxWBW/pWiaWC6G5cWbGRNHBwvO
O/4H47eo8IEsYEddbCqjBMkfFbPmbkw79XPLinxypKrIaRE1TfyON0fY0D5FGAuwPYDZ2zG7htWD
ohp7O/WwjE4uytQnYZ05OV8woZ4E3QFfH0oP79QAYoJRGcAmQOvPpZcznS6sAD3WM+tCJnZ3hXaj
PPDjD6V39+YOwDLoCQA1XL+/51eFCcII8DSWoZYwfc0aO/F5Y+ZXY9VnGNycLZM4JWnlwRzhQ2Yi
6eKojmAJcEBqczlUQbDpHqYgsE542QdNcinIaPuxHZDn0s6mg2s+9OmgJ4DQaKYRuOUmfKDrnpuq
NRia7kThCz0VVz1eJekbOiFDCoCZltJunTIXR4ttO44OpLFUYq+ixLzexrfMobBGzFFzV7I08MJu
1O7USeY3rc69GTPJTkiH5pT30+jJnE0nS1n8RyIxu/u4k3sYXDiBUSDVxeIHsuyNO+gGzDypBE7O
okPqB3UduYR2+lrJ+Sir3hMv9AqwPLI7vMBhQ6qNw9FiAd4aEfad9HTFJ7ehs3XJpB4c2nbjQba7
S0+Ct+vG8VqYnmtxm3E6YmYU6gTF8kMrBwN7lb3oIVVsyLbzQfm7x0oMjsAy8fJFvAhgI9NejQrl
Al7ikNqkdyhJMm+O7MHvKTtqzu+5gXVvG9A3NkEx63B+tbi1UsULkGp02PsGiZ3HC/towmqPgZhd
AICIlBbo8MY+wnEOo6BupDtix9cJokw5kZgDtwmS3/Sg6YFv2/M6GEDCfBUaRGDiepx7XidA05NV
mmKxtW1rZFgJvcjSwsK2Z9Net9jsdltaqAMleZjxAMbD3WAFWBVBV+qcKK1mNH91J9wgpJiOthLT
v5nmqb8kekQBUpRT88a26vxfIrWq6ykl08+PG+AqqvMsAwfAcgJM0Mbq9naDD29zmU2KGTB3jufI
y0iPpfi+ji+oZcw71LsVipnCeJaqxh8ep7wnXmC1SHAQLjWuf351PrVFqUbw286q+tSKrnbiuIwv
TNh1Tt/ywXuc3t2W/faqaPniNQ4Ur4XCEMs5wSKTJFUkhEG2ZowcFhYK25Jhb38cbRS+HsszVuAF
IYHKPcVDSZw5j4tXZBrKn2lQJJMj8qoSDp8KGvrlVGkUVXHXjs7Ul8PgmCgbR9fGZN5Pbazopwyg
c+cWNcvbS0z8py02FIsKKIlSyS3X3XSTqqloHPQAMMIhk6UvnGoZqoPxhh0VW3eDMNMGv4C0a6PX
XRmhf71gQbyesB8UpUo53GSdH4cR9kTrvnBno2qXAa1zsq44mht6WFMjIQI8LyTe1QPj2pqx4a2p
ZGBzvPaFxL/MXHTo66iGfBgz2oZunzT9245iKNURMgU78pizdzWdVessXSx+Lm0Rok0eNbW8SLs+
eCPjvg4cBnh7cuKxR+KNaa48cUK0XrB7FOXjUUKy41rRGsbM093LDVAanGtOMi+5jBokdtoSk0fN
nL0dJyt0UJDP/uNaukdKomOMqQT0/DB3c06KZ31VURgk9AZjlxAdWjW0XRA1su4An91xeOtu0FdS
m4BYiNXbxbiVlD19PrAq+3lZSyMHVWCUOZhonS4nWS6nx2+4S1ZqLJChdmbI785vKESI16nEuKFd
q6FwhGjFujnZl7FDqr762ZjY8gPR2Ad0dziL7imALqBPyDb+j7QzW3rbVrr2FbGK83BKUdI7eIqH
OPEJy8nO5jyTIMir/x/44NsWxRLL+auSI5fdAgE0elhr9bYTnfpDLVN+z0nvreqpaLIO1K7fvYlN
/e/HK9y1pNiGxHUK1bhxNGXVDKNcCjLm1KsBBEvvEthdb4aV53bfHtvaeYp5Gf9naxNlyLoRdTIR
K6dDqX8SaOF8a1Vf+rGV3RWhD0VNhaARmf7NnumNP5dmi7KHkXSguLvg49SY9UvWxEdcqT1TjACg
twUbAfbF5lRmTeAWMYjCk9XaELR66A5AdYonc6rS58er2jmJxBU0QmjhkSZuQaei8uRspjHZzNID
ekLL4qL5M3XdViTXIu+Mj4usnD8fG93bMLBt6mDQ1CIHvv2UmT8FXiPYsHKpOIuZgMZrgpp/bGXv
K5JeE1BA9WLTNhtG+XRyl46lDX1v/pn09T9tbXof3a74F2edpRCkID5FhWuzXZYnAKgKaZ2aVGRv
G6fjFTGTpI3WNdYO9mtvUYTTUOnwxeQvG1utUowog9k6peY8Ro4O7G6cKGo2y3JE4t3bJYJpZF0s
eN/0a253KV2M2elmfKMx5PKyNkl69cb4l5GO1PIUZxemNV+JQ39rpa0df3ZRxDh5Y/8XUV93rgpz
vZgs6CRcET89PhS7i1K10R9y1FQSb825WrDYrT9Rn6BU+qaeBrKtuPRiPXpsZ+9eweD/PztqH3+K
pNWLY1oadqwZnpZhOG1o2t0E+idYkcQIypeSu31QO9wJJ0l8SKNpLZgoNGyMwmpJ3LJeMTpANA3j
eMi+imwZL13qeW/L0W/ag5L73uckP6Ha4wSoT1ubwCo3iiGfdI5+77T187i23+tENw+yun0jHBLF
boH8v3ktF19Us+kOVHgqMb4EXQ5U3yzk6dd3TBHMdMpm1K3u2lxGXlfZaFongEzZG5RnytNYZn1U
L2kGR9h/nYP4v49N3i+MSotJcQf8o4uckApbfzokuTGarTFz9kvygyhwWvejISz/82Mr9+mNqucY
6I6qzjCs11srQyXMNIVoC4vEK69zPqyvZp757+oubk/VTAzQoDtxqpt8Oj+2fH8JsIxIJgVlnBXM
sVvLqEW0M7ByNs6vqw+WZmVfATVPr83Y9c+WHddnRwJqfmz0/hJQSFKVR4WhhYilPvpPH5Xq5lCm
XD7oV7NKZRwfHp2nRbYz/lHzil7+jTngnDCEftTNbs0ZWeKi2qPMNW5/soIsOMU8oJHMx78XLT7C
i+2tDm+JgDLOEniR+vOfVjc6OV3RlSteiAm2FbC8yE2LNDQg+n8ppko7qOfuHVHlTRQvkkBki4zO
DA9OTkLmQm6VnOhozk966tsHLdi9gwIeg8LUj8LNtgSW94jhQUEEaRIM2TsS3/mqzXl+0td5PGVZ
50dQ5+ro8c7tLI0uEoIiivAIUmJzOoFRBiOEbHZOS+bX0izTcyDwMo+t3D/YYL9IPUE5O9jYBsJ2
57nVWGJlqhaAtl6dhpntDu8R/Cp+OZkhzlElFDXYSylQ3p6NmUKUcCsuupnrcaRZMg/91F+jYG2b
k2HX00k6yRE1eedAurTpVbeKI3LXAKy7NbPbmocutac/jSLxX2hq1V81bdZCP66Kg/hHbcptAUPx
ZUFa0KOix7lF8XpORdN2XdAC85f5g53P8gzp2DuhDJOcyq6dT1qlVS8ySauPfmoeiTbe7ybkCGIH
nR4NFFZnE62UqSj1YPGA5lfJ/M13Y72Lashx57VZkungcd01pooWbKgL/XqT11TzKvVprWEEd0V/
7bLFftOvi3slSzWuj0/pPQMCBRrb/0Ghp3yKTMPt2ak1zyybaamidC4F5B8hzzpX4hzk0/KajLJ4
40g0kGTqQAzW5Btb+P2Hx7/h/j5il26VeqXQjtkCD0DRaK61ooWDFq981jOjPSfZmh74610r6q0l
4CT8szeXhGycM1r6VTSb0/iUEeWCrKD293gt97dCBSpQaVRxj1WZt5/TGnupFTVFNGug3G1lq3g2
R5G8ZO68VKHRjMPBBu4tCx9m0fl34E5u0d+JPSCUDJwgWjur/zgahftWtP5wED3vLcsDEwJ+xVT6
lpuPV+Ue+rZrWoOXK+ynVCIBUK6NROtMVuFoJEf27t8FvuBP9tTv+em1Wxp6yjBT6shbtLcleKiv
CLMuT5nT5FA2/W9jkAYHl+5uiVCK6X0pAB3lujuKhB7XU1slqL1Ks7dDkU/Baba9/slWyHMja45g
+3eXHHtQAqhC+aiG3smpeWm9DmMuOClaml3SvqXxYwFv4FeO0eND+aO9c+M8lS1LtRE4JHCnN5Gg
xD02CPlW0dCLJTjZs0z+4CzJ9946CaTrsqqm6baUp6WagnPXBtZ3PctNpJQLPX8zrqn5ZTUtdEWX
HEncoqyoI0lBX9lm4g2qH/z+qmq+ktQPT4bbL79RwRZItlmdDLWmPwj0dr8cPosGDC8s0nC3h6Nu
kXmWXKcoq6T7Zta96ewIkh1/GLSDQ3F3DtWHwwyADKUyusUhTNKz5EzqHZXu8s2Z/fr7HFfLtc7H
FNR8N+TiZJfZkfLdnlWFEIMKyf93JMA6SIkpLVlFjWYs52CVLfwHRwtjFHMu1ajpwPRN4/z4kOx9
VYolEJBRbwTst/Fca5FPcedqZVQ66JD1ublEAwKc1AnrIyD3rikaPmDN0BIkv7vdwHkdFi8BIRCN
IMJCJ3W6U5HNcZRS+f5Vf8wGoqiHwDsYAVV4ujWF0OVsz75dRuNc+VePrloknFGctSJNL1ZQxb8/
/or376kyCGyRWShK6XOLvtAkpTYT6EpkyCTvQ8NuggtA5/Jl6rXmzZysw6sm8wFN3qL5Txb05tnT
8+bgRd05QFgB+gFvjcbDVsAlqEAPNrVfRGgxeFGfWU20SrsNHaQw3gVx0IVuZdcHRnd2FddJTEhZ
nYdvi24ZqhGyom8XERqG2TlGiujzangDrReQEo+/8q4p6lOIDsPvIC673dWuJrlcZkwlvZ5ch6FM
LsI3p3eD05e/7mxA7ChVUUV3umvSoz4obKvWMCW6IGzi1b9oCCqdmro/KnfchbhEP0rLDlivGpB5
95RXuYIpxQVCMFUQ6UnhXFu0yk+OCIK/XaeTZ2EgndorxAKiUkdp0d5HBZitpLpIJShMbD4qEZGr
x0kZ9alRhmLSUG5tdfNktPF0UNjZeWuBmQJ8UB0CnMDGg69ennaVM5XRagkdBlnffipjlKqauK+f
jMoqr4/Py959oHBK9OcCbaH0crs0a6JI4hayjIrEbF8qz+nOTWvWF3R/1lNhVFWYp3l34HrUIjaP
LoLg/zO6eXSzpVpFj4pmJGNLIKFclcsnSN3utakL77mwrPQSFJ7B4AfbLP58vOBd25SzwF6AowY2
ebtg35DLKMyVdEWO1uta62NIZAhicrDSU19P34ugNl4m6R4B9/YOEZVjJYeLYit4k1vDwVLXvpZl
ZaSPa/K0kPt+yXUKCLirI1jorimitR/PpJJtujVFZausW70uoRQYv62V7n1qhAdhedLjgyrFniUr
oJNLbqJk+zeL4qNJG7ZeEYGty07rsGrnWdblOZdef/n1jYM0Cu2dYA9E4uZm1NQFc1fH3SARWj8v
Vd53YVBWH7uu165WC2OZR1KjCdDLL48t771c1CLpt2Degzmn3NNPMTewUwQKZwdPt2pGZAa5del6
fXj2Fzc9Tb1c0tDL/K+iS5s+NFUrXVBjOwhV924qzXIYVrgFXu3N+pc4K1TdpIhGOw+eJzNFq8+u
01NX1t8NH71sWjlHsm53KRR+VyFNlDAgeei2K9VmZiWSdsFmBv1T2sP0G7o//kFBbe9KQkpBukjV
MeB83n7esUoWmQ5BgXud5PvaZj/9RcYXXstvXuy066kbvfbd4iJncfBR9x4WNfYB3hxgSUaw3Zqe
a4GMUV+VkS3Mvj3ZYzaf5VAkT45T9F/zsfW/+0Ei07D3q+U0rL5+NJlhz+ErBj44DOQ9iEpuf8E4
FV2K+GgRuTxyJ9JnsCHplEezTvUmr+0jwv/ejVUvKNE7gGoq+7f2stI1klHDnpM75clfgjUyOje/
pEFfHtzYvaVB/yHppzrEtd2YynvpDVljEfYEmRkGje9C5Y+Hp9Ktl/M8rPbBObpfGv5ViXjSNaO6
uG3lu3ZvrHGSFJGQ88ekH6aXUSfQLEHx/HJABwSDkozyRfRGtvFIqUS+Ansooipvp+usc9mByotL
1Qv74ITeiwYouAf/0Y1WL+bW7wVDbVMMrohYtUz+aQ6F6EJ7yhCeQrl+/bT4DkglWcrTEEwZTXFn
+k00tRuaqHVcqnluDrzhvR/ixyidVFwi7MstoLDUNc8e1wI/rGXl56Z25uJUOoP95M6Uq8K4aocv
ydTWyUHQsGuXCgtKwz5Yg22bdzKTqh9FXkTooP4tNS07Az3w3kwOpXCy7SWqJsf69Njz750o2BwM
JVAigHdg+4Del111TRHZs1HCFZyLi5fP+tvFYp7GvzDFq4ZWHl6APOn2Xq7zlPCPss096MaL42cr
N6ZzGWTSH82fur+XJlgNDjAvtgL3b1zOMKSjM9mYmm2zCUUB133s0iXqkkR/Am9mPv/60tSrBcIG
WCjQzdul9Zk7mXXZcVtq533q982Jt7y++GO6HljaWxmJAqdDgTXv3qulzixfm1lZ6WZKmwjawtpV
SSizbPg0lnN9AKK7fx8VRISoGUIGWeV202xzSTSv8fLINbruIjxteN/5vXkAidw7hcBelNy/4rJv
G/SG2VDjr9o8QtpUhFQ+3LNT0Oqa8Dnnx1u1t6CfTamf8lOkU2f2WKcjpvymMN4XY5xfEfAW/+Iq
k0fRiGQSJ4z1TQwueQqNhOE3iIYV8jWoR/9t3CMt6ggZ/+XRkTy142FffudsqDEjSn0Fv8V1vl1a
MtSVznOfRXTR/hPHlG6q1fKYgQH/bIHT8+tf8ofGNpBSkn7kZW7NxahS+Q3iJugAdMNlSF35AY7U
r809Q0EaMNmPQhjRPs2K7QHsA7Oy0w4rU9WKHqBw3Jy6vs2/yVST74CXHnUkds4ivATqCkSi3LRt
LQwFPh+LljqLsj9BAXNObpqiqZwfyo7smeLBo7BAPZPXb+OmpklvJe2PLNKtrA2TmMksIjFGfDGF
o8fHfu+RVXVMGFXEKkS7m4zJSgvY3jjdqJxjPWR0ifG3EWt2HcaZUlcpmYfmM5wgSmWgXxNUk04o
oJTXeqrr01y50/fHv2dv6QqWwPx4fhYVj9vDY8M1nx2tzxBl17L3xlrGb3F6aBTpyRH+cedZ9WiR
0q2kVQlFdHMtBoZfudXaZhGzUsrQ8rr+UrQTWOs06wUSRUZ8bopgffrVBfL6AA6A5YLyAIpmtwtM
Tdp4vl5Auuqz4GzKqQ8LiUNw8iw/SFHv770FtRh4GNx3OsHbGQ9A+r1WL7IsquRchtnQiTOANWa1
MH30FBho6z5e2r0LBb2nKqsU+1jkNk+DKQxKbERQf0Uq7iu13uoMb1C7PrZyf0KQTvLIlbgctJi3
kI6pkG4Jrz2N5DhbUdXlHVpZAyN2GP5yUOnfWxBcVhIzNKvuRdvnGrG52tCSiIhdA/QGU3mmzB89
XpA60rc1ISxQFWb+B6eQ03x7ItAcpS0oUhnVSFL9pvdBfnEddKd6csNrwV8LvUSrfxu6xf/1A8Ij
TnWRaEi1nDZpCsxzTwZMjo14gRnlMgbTZbCG5Z96zZkWURfLwdnfOZBEQ4rdoDookA5uV8rQpXhw
RuzFfbUAoWrKU6VPyXNgdsvVLeH0Hmzg/RUneSDSo/9qKJWYTY2vbEf0hSoi5CHv4msLaReR09U8
xVnvvNCssl+sbMoPgpY9o3BU8WFk9oiMqQP8UyQhCovIXEoZwZyvz2YxeWdvYMaV4U7aG9dMmt8y
ZpsdBBY7twJw8P+Mqk//k1Hd7MFIAICgE+rGp6Zb/VeaUPOpH8vk4+Pzurs+wnRE/rkZd6TksSj7
WbScV4bjLn8ZxszYDD/T6ktmLlo0VByluvF+mT1GHggRkStPLRqJ181W2ogKNTItZVQ4sFToui2R
RJP8hRg0oL7n+L/uZrBHiMYwAZXIb3axndaAoVm1jHJv6U6EOuPZRoHyNHu5d/AG7zgAUrsfQoD0
vXiLbvcujrVBNFMro4HezeuK3sK5jy1IRnmeG8YTWjjaNTb0+m1jzfGB7R0XR3tPdcMow1AU2Zyb
wpT51AXrzHs3fxqYpPRednb++fGJ2TmczFGGeYw+E7HGthxC1GTUzHCdoym1lLzilF153tuoyJbu
IC/ZOZyQ/ehZKseGDMEmnAmyoliaAO/p13Tn+0KsVCT1+qVy6PeVbT78rlWiPDC6sz5EDyjhKT9q
8ODebuCiayulmWyO3EAGYVqXeoTW+vCUe/MQPv6Uaj9uHwuY3NDEIahTfkFp4daU6wyxEczQ/TmR
2TcNINzJhiL1kSpeFeUU/g8qS7v2QG2CxAF8RPXj1t4C4qKde+Ihe3H8l6qU2du0TFr4xjKp/uqC
qToweH8gWSC9WaXTRtK87TgNftrN0lhFZPTMSEk6Mb5mgxwPXqIdKyjPKYCRkgRCIuN2WWm6FpbZ
aVPEgYXaDAzihflE9YFT3vl4FG2gMgLF4VRuC0arsIbJ4FWNRGrNFhH1LK7xnBRftX7KXlejjw+q
ADvLUjQppRRBfYp39nZZjTM3GU3dKQoaW7+2ntDO6THJ/v6OEbbSiECWXNnZIpVX3yy6wF2naHSG
7EPSj/GL1i8Znnk2KCdP3gekTfqDHdv7lihQEKYg5qRSy9ulZZk2Ea84E5imyv8L3d/ylORSPqUL
stu5kEfSN/d3mgyMuqMS6YQesIVqDkEH56utBHOgKgblpFn30tscGKq3RzDenV2jvwKyiXobVMwt
e3iZ8mAdxpojX4vupcst41qkpCSPPcfOgrjFwMGUtjNr2hz51cm13jdYkIzL8oOZ9+M5txumC6ZH
4qr3lsCLgLeGUA9Mxt76DJpVqTfmDbGIr/fv7UF3PgdVtZqQE7sgPVjWD9r4rUfE2o9dQigZF7x5
PZHbEhlD82Q0ZWkj0AKvFUR/zXwvRNeC9Gqly/I0JdUirg4xDeo/S+agIFXnOilsqztlGDOZ+O9x
1ZzhVARj82Wel+VvzR+yz0tqi7+JWwOAeh1KaE8LJWYrLGfTWqPHG3R/reAAUmBAKkNpZmxRIgJi
Q2El2RhlCfWaMJVV86WgbZRAk/OtEJF1SFjBfHCv7qUPCMmpDkEqQKCVI795vAI87lCl7RgJCF5f
ZbxqqB4LZzXO7TQt4zWbZvdiqxm7l36GfO4usfVfzetbN1yL1A4OXNj9PUd2m9xRQTjQWN/O65Zp
Ug4zHQa0x4fsdSBTPi9JyfwqUYyvReYlB+/Nnj160qBGaI1zZtXl/Clwthn1Xhj5SPBVOeapQhv3
HHRwb1Owk+HE/KyDN+H+slPmZh45WQkO5u5BHQRtlbIhrsy8rAPr0HMD6+IoWt6zolwlHVt67rjq
21UxABSYNmDMSNR5cG0YgXuhJdUfnNj7i65kiZSoIQ828cgmOBBrbzQJ42WjxPSzM3W3/jc77opQ
5w7+MjpEmSJGhQxOI3iLIcgXwOxl0BH+M14sdNZq/lZ5DGMlJJdPbtwkvz++jHtLQ6YC+SX0LpUy
+u0HbNFeg8lEXNza0j/1iJLnoVk36JdZbvn3r9tSgQjHj+I9JZtbW4PWThwYxKqWwU5fef3iM8Wn
4q3QlvpoytSOk+FAEKuq2U0ECpt19VLWeIKE5E2f9CdNBl6I2l0TtoCQnrvFkSeTNP38eIFqAbcu
GjETYmPkqHkXAJbfLjA2OhmMunLRspsAK2bpp6qYJzVMwP+0oBj23MbCuwyLMP54bFn9y1vLKDeD
KwLoR9N3c0JlkATrWrKNU0dRFbU1pEfw/7P/12M7e8eF6BitLkVJQyzvdoV+6XkTEl2kHSsV4oo+
Yli2fsu82FYefMw9h4XQEHZ4W8lNN6ZoICyztsRIm3H5whxVuUubI1+Q+/2rW8ziz8cr29k7Qkl0
YlS0Z4EfvF3ZKouMWbEqOa0dgzmhIDSnLGi7UKyr8bSMzCNO0ykIhbUeCa3tnFUVeJF2cO1Z8Sbk
A51hmFVfEEckawFP0ioZTZCBFbDMUfuDFmEdSq+V18cL3tnKG6ub72uVycJoBwoNFuI/jCksl1cj
SeSpDaYjQZf9Barys5IM5djcflsWrXX6glOTepJdpO0uQFkaahoTbzAz0+dXvzCO5luof3RzJVRT
AbFiJbztbHGSXtxIhDgMVAALHYHopE/exfP663hsnlQ6kSqiIkPYSpKWctYRkM145oLkj7HMvY/l
6sWX3prMI9rpD+bgdkXU9yh2E0AxEFF95p+ecIQL4nVsQMi4g1+9d9JyehZJbAMdzpp3hpTaf8al
HyNz8IYX9KCbj9ZcjOsJ51B8XB0Hzz6WrsOADfc/SWrHJyKN4b/0Wqm+ls7CaLhkOuo27t0qmHSk
aDS+GfK1qYTGybw2ZcvLaaarEphCGrzsAVc2gIwidJybczLV65m+vnbwkN6fOUrMuEQdd0znY3vm
Znd0xsLzkLHS22wJO79of9NrvZtDCvbZB2NdfON5gu6THBi+v1eUY3SyN0qiTILYohiEsICMLBR/
x8V1L+vYBa9k92W4ijj+ZReJKcXjQ9SZLtJWsNod9diVEp+VL1oNh9cTbaT1s/ve0ZpuCIvBOpIt
2l2cyhMBhwCO2cqQ61rXI9ky8ayOzhxlWeBeKsZohJnZG0+P/dP90WFx9FVR7gFSzuHZnPZ4MnMb
HaSoGj37Mppr8U+h1f57BvYO51ZA9nNGiKC6XhxB9O9fHizjqWjOUTyhdnJr2UqsrnMD7vTSrvIU
FDJ+01S8dGk8I3JQF23/6fFSdw0ybInWNRUvIKu3BglduyXIVKzse92rB4UvLJu8OVW9NC9pBjj4
sT31lt06Eh8tUTpYNClUBrv5tIltMOilxR9XjEF/yXprfgkMFHgWJj9F6DOVnxrAHNdGtGtor/33
X7Zue6qebvED6JBsEtnELLuJniD5n2vTV04yirahVfn4sKAfTwX8jgsUs/ptnk3j2TC7I9TaziG+
+QHb93buNKOavTEaO5p4tEfAkIyVeDM48ojodP8IEVTQuuL3Amil+3y7s9IovKAK6ili3vUQIQdp
n3Qf4dbHX3RvQXg7LiSVRLRitwd2nh23Fd0UdS4t+3jB0SzxxCT4PPjlARoUIaii05ogXFFi67cL
yvjD1rCnKdILRqbGhl2E9YxOYbtU+inVDlWk9pYGlZDAgZUR823CMlH3snVafYqcIqmffA1Hmo7N
+rYFqXl6/BWNnWuoam5oc9AHZCjV9lxYqgvamxOYPyjLRF/0sMNi0by/aGkFa8gsYOfC1OWlvi4m
NP9zivbOe39KnYpO24TCEGgJYzpTYW4+FUvsvvGaLE+RIHCWI9nn3e+iJjgiwmdRI1d//lMsQN+N
alA5TpGZjf3TJJCnkn36OUvK4MA57RROiBMZFYbAAJhAStW3pqTwk6Az+Cx60w6XfmgYUqdR0m37
vD13ffophy91ZWyO5O7q/skP1vEFylZ/sD8728PvIIig3kZCsH17ugUa7oRQXdRMZcCU1Wx1QoTb
3BOprQVfMfF+OdnhnXP5wGQDhK7brmrKNLi2ypM5kmk2PXu+oF4pBEU3J9YO1rbjkSEOgD/HXZA3
btsdetUAyltmEdWuxSQCOGLPa17lEaNGxghqIRCZURdP3ZqukVVlR8jLndNEnZtqHLZVVrc5+ZML
lTZrfLotWaK/+KX1V8Xwnd9Ff3jJdhwi6RwgSG4ZleAtHLtDoqXWsxgZ57q1ztNYtJ/XuMsORAF2
1wPQnCIz85PoCN8eWacr7ZTcVESoSK0v+TrP57TMDIqmWnuwczthCrUapDDguwDy3sZgnRfUFR0Y
ETluWn2Z1qF+KePA+miYhRmKltFUdWbIsBrtX69KAfKmlEJdygBqF2xcgKdxokCci6gqOyOCckOs
2zX5eUlH6yBg2PUBSs2PXhxwHjz/7QdF3Bi9JYfOXz8G3UU3quRa1XlzlkX6aWyc4oNwzPENvqiK
hLsW4RT4zXUiNzr42ns+gLAagjlcZbCSG19kTL7f+U05R82COl5YrgP9Jt0o5de0tgFMpwtS6Y+f
hZ1EAjQ0/GFYlPR2rc3dsBfTLdecpm7QjRkdf2ExmMr1Xv2FMTuSCWQnLUYv6rHRvWuiNpZGOHKr
JM6333uBSjiZzsT3Jn8KS1dqH62lyT88trJ3TYis1QEiFINJfmvFy63MsXum4Flj4pzjWDThuhTd
O2k2Rwzz3a/IueEZoXAEsOHWVJAs+cRkLxEx4RgBRSOGYptNojmjBfnPKCvxpdTtoxLA3vp4r0BS
cGJ83q5bo3ZlOJPbNHOEMIfkUE5DE+mTa76bSufoQd5bIIVundOpugzbvl3Zr7E5pwsuxxCp/+w6
Y5Z97FCQdr5YUr1SSYNarmPO5VFnaO9OgD6lLIBL4/XYxJjzutj2iNBC1Oro0ycE8VErhukyZcZ8
BlN4pNBxZG8Tv8dGLK02x17WjnmkdyI9l13fXPQl8C+JsI5UxfZ20WGyvOqUg+zdilcoPSExLY2I
NDBsXxm5x4TsKbanM1PBs4MuyZGtzTG1JPT/wgQGAATFPM+LE7zUC/WwZkmPMPq7pigW01pGpIoW
4u3hTEarQyESAIDVVs6XcRqzUyoq/Qwi9tc5fHR4QWzQdlM59bYkUYhAmxuTs9lofXBF3c6/mj0o
gIDrcXnsUvYcF3o4DEhU2DcaC7er4gHya8cUIoJIZRvnmu8pFAvhyCvvHUKyAU478kyArzeuKy0y
Su22T1Bqu9lvtla6dBWc/KX17GRARXg9ut9726UGt8KFJHeF8HS7MJ8h8QjWJABmidAuujvZl65m
HlssJ/Og8rFrSuEbGNi6QxShs5vU5hoT6OpLfS4YGvqZgzFRE3DyA1N72wU6lxYJRVIyx81n7GPf
ZAZwJqIgFsNzTW73SdMOpxXsLggsucszStd3C1ZCoWv1U2SEogYWxTV3KwZguWJqwqxpi4M3bc8P
gzL7P1ubfRqtxvJzDwADagPlFSqT/+pp0v8+lhA7NT31ohxq2b849fTrUFkAXk69UwWJP2VjZd6O
3ZTjoihtNP9URg+DKxn9+CAq2P2OP2i4itgM3ObWjFOW+VTPHHoYznn+bJSJ/ZImw9Bf9QKM6eOb
vGsMHpbCaigM8uZZ6YF4NcnSkhOIwY5Dq3XSl2XsNVI9Ay8f/gtrAAKY64VGESO5b5dmIGCliyL/
AUNp3rnxzHQQab0k5aF21966+HaM1QHzpCgBt5ZiI/cMDY4d2KEyifQ17p8ZCfIlFY12ADveSw3I
PUghydIZ4rMJP9y169064wu2jLr6qkmUBbzGLJTydXYW46iHtdTK0yrLr48/5l4lgzGNqFCj36Im
j24uQeIGWlHNZFnoaK+v7syQ78ZZmms+CRTeJ825lpUtP3StyP5APyl+7RFHXE+odRfnJm2Gq5sn
1jc9nir3Temm9T+TJZb/Pv6Ru/ugegP4cKRCtocZ/fE2NwLev0CfnU95OoOuLbXkP4HIj6aX7D0W
9GhAWQCYVL2I2y13aoipncejVMcBArX4h4s7LCj8m2AfmOp1RKreW5qCthDpgkwAcnprb6yNjKdE
8rQXC2pitZt/tZUGejP6/yYJhFFIC03lnkhe3pri6qa0Klma2+WMZGAMVP8VSW3hnrKWcSL/wieo
p8JHDgh61zb9atSAQVgYhH5GHj8hQjA+1WZmnRhsmJ4fH4+9PQMFp/IuUCvgTW8XJoSXJvZMlVio
Bn5iMsNa1jZ1tCopGKwdiPLbY4N7m0Zlk6oBcC0Sho2/E3Y3+laWT6iX2dpzUpoIQtciXbmkY3zw
SO09u0jPoXJA4UClJreLI5n3msXGViNs8bEo3FGLSAeFd7BfO3ZUxxXqGBRGelKbd8kzh6WuEKuN
nNlKn51q6c5l3FV/Pv5yu1bABADDIc+667TC6KkEg4epRVbD0FxEk5rPSWbOwfX/z87mrFPBAZnI
ExgBzZLh4ssW6FaaHfTv7sdFgABABu3HGaehu803HDvIhMEg2Kg1rXR5cctGGmHTlrgl0ZXFH/qY
Nd/npemnJ6spDZKRKYVtb4Mq+c5cK9M664szPBt6oqVRRc95Cuus9HBvpjd+62vD0ELdSrNPY1aX
ZhS3NcWF3kDQ9J3oi1q5wcUSoYhraz1N8GgLygy5/ewPpBLnvinWz/1S9kci0TsXTtH9UIkhIaFq
tinxzO4MdMxmlG/i+8gGVNnyyXIb8WQ3eY1M/3LEb9o7NYSDnJsfcPJtJ6GIazto0YOIEMfNq3Ce
9T70xrY9So93AkJKczBrCaUpiG0rD+bQVblodbo9fQ8RzQT1T7SmR01bGde1r9HwIy06OKo7zkSx
KmhAU4Akv9u8ACudxdUa+Zg6mh5Pcy6LjwP2QvgB9q+H8JTDA9X4QRGBKPTWl0wlVRWmYI8c18Kh
AFYVXy36wgexzN5uqRaA0uVUbD51en6KcFvNFKaW1DTtOl37A2TpnIcz1fHo8RXfKzSqsIXWvdLz
5hG9teMEY2EPpj+iQJ1NeuT6MvkgSqaan+o6c//uhhkuTNcPyfx27uvxE8Pbl79y19WMs20UzDl5
/Hv29pHwjbIO047gIWwuBYjFNgc2isuxqF2tiWE+gYj9b22MR+DoPUvowQHeUtwKOHK3C+9mXerx
yoR0n4rYn8Kg24XEbCHDmEGjB8H23pVQe0kOQWkMdvGtrUImRTlY2hAZg+YZb83E8wAzilxrTjbS
tsXHINf8MkT8T/71+HvuORlKqHgZOio8FpvAdBnKfjCYchuljs6okWUsGbnDfJ73RpC4J5jpy7/Y
QBqikGw9mqPQ5W+Xmjqab2uaIIwozSLUPM1DWhll/9Y124Ozu7s2AkxF4KcatxVdKJl5bRezM0bN
aI/PjHFyT7GTiqtw2+nZURrIj7/l7okByIsSHMgBWh23S+upChPZ4mPsQcSvaaNZjNAJjBcrNY6a
HHtLo8GshqNTRAJOc2tKoFU0CpQDoBAPznUSS35KWy+7eEM8/q5h/yBu+XGvNggFGL3UClTJgIhS
/aCf3A3R34zKKSyIiibPqRKTH4SjlK+trNcknKtBfqlXe/nb0joeVhq36UfXKuqji7L3iX/+GZtL
SX1usBPq8JHgs6CMD3ETvWAHNZQ0+RcvBu4OpMsP2YQtBiRNLcFYHDg0CLZNp8yuDVCc+XDpemmf
Hx+cPV+OFLC6f2rw1/alN/Q5RyONDDhdtOJUmOb8htKr/sdjKz881nYPA1WxhchoK0TUZg99ux+k
JidYsI3nnvPZWC5W5ncRqH+oxq4/v3GsvHmT1uDzmkraz1aRjFeIpn0VUv6S46UvJg9OA0WXK9jv
5nMdO87zSP58EI//QL/f/VZHycuj/slB37zXJiqKNXJjE9SyfvynSDxxHdba0On3jDaE2oGZyVXh
DeJqmkX/GXx+8EdqW8WF2bz596y1jIr5lP7QRn071wf7tXcKaWKSThpsF0nl7YesW3SDDGrgQFN7
Lzt1c+w/gdl0vg3QbQ+cyk7NAgOAkP4fZ+e1I7extusrIsAcTskOkzWjMJJ8QsiWVGQxFUMxXf3/
0Ad7u3sa09ACvIwFSJ6aYqUvvIGOAvIP53LqDTXNXqQLBy9wSJDnSuwLvEqSNQeag2DSzwF+9o2a
82u354VJQncCVoxAAcS4Nye+a9aVAI6C7tiJZj+0MwfdkwR1O8uZw+LKDXNhnihHQ/fmhqFte85F
ddF7ncYQLpJMQzf2NeLqtTsF8dSq+hHYr33IC/O7PU/9lfTi4jw3iTfq8Lz251idoG/gj5bQkyhT
TiBNvGrfIm15NMfwmgTDpVuUKvyGoSY5Q+B8+13+c4vWMJcWx2o56LWT37SLtuM6UDqOJFbHxhAG
iZX204swuGKMKcd6wFn+2NaJkWlhwvpF/I0E4vwmT0FAZQOtL8zo1P0aDu2DTec6rvXVdt/l+ZKy
gdjYbCnOfXiDULag8inDjqtlfPBq4X2EAxbeRRPuKWbWFfG6LsGuQko+Dpwl2IcyvfZkXIitiKr+
3+9wjngNIXCQjiAnr+y++zabNKV9PEc+oXdQ301zHr30sir+PAcgNqU5zbkhzzk/tX0aZUZVAR8Z
+3GKUdyw71PC1iujXIgCNmoDLSuKCZuHy+l2EqKSAIgZxcLV4bPIZCOT1h2Cp3VazH2aUam5chtd
eKng/m5tVWpbW7//dETTzHud9iYf082WNa6izmxiO4vcX++/VZcO5X/HOYtvoAxmGCpTi6QDog7T
XKX7VoG8maqpvaICdnFKNigfzExIDs8D0tISqzA9zXlAFXEnsVBI4Fxfq0Be2oXor6Iuw1bEZOSs
wOQ7qFcqyVJplzBf2OkW+7rzXi9du8u4a2+qxb9Gxrr4FVHy2TTO+Pd5myf0G9Q69b8V3aa+MxcE
rQcPKzJMFLIr1/fFrbgVDsA9I155nl9bK7CJYaBv5Tdoode4KVvxGnK/Qbgrd6Lu+0//ww7ZJIoc
+CgA/s924hSiIy1mYiandSqUZUc3kdU8fHSwz7z9X4YiPiNhAYJ8TsmyljU0lq0nZ/XY32XL0uza
UIb7oHGuEbcvrRgGViit8z9K1dsr+Z8Hwu1QkreM7bJqm/ZVt6v4C0sP72GqrfTz+7O6tO+3SH7j
iCNQcv7gkscPgZ62dpIpw89QqMtXA+2CK/vi4oQog5HVIg5H3n46ocE0oJoMvHhU8YwD7h5tPBWd
uplqM71yN13agrBLQDGj9YB+49mOELiUzFbIQ65KLQ5orRs3ZSeLz6ujuwMyXemVi+PSkQYmwKQ2
DRs+4+nUOqjoArcCEgR3bndKm9GHTMxzHFL12OeZk+HVu6Z/v79ql74n60U1FBQSEctZXOxLQ6kZ
j5SdqIrwMzT/CYNwre7TCUX194e6FJH9Z6jzrITcuWgLRanFDLNqPuRZbjyVTWCo2J+yKAkGr3qc
gxp4JNddtHt/8EuLybuJlCmxAyXzs32zKpm7ygCnvXkHPZJtfii9ztyZ9rI+5nZ2zYf90mEA1AXL
YKv0gG8/XUsbt0RUYSdg4a4JWcj15oPRm38u64TJGundxi3jpjwP/4Z0JHSfjGGnRWbdWqHC1Ka4
Kut0aV+yHzdpOsoQQMlO55KlaDjh/cW+XPUCRmdZ9rKkZDx0nn1wCgdXjwxp6vfX6+IHBLhGpwTY
E6DZ00ELu7Kl6CkTAt0rjmrAhgJKyLXm2qVRuILZ9pQkQX2c7YoUARDHz0saG3OlgBHgL7MMabV/
fy6XzhjhKpoloM9Jlbe9+Z9LeF7h4HojG1+i0fk1l/UcQ+pZRBwU/v8SUG00NZiivCzWG2As4vul
9iloBCr0DtJrKpg14TXW16XTRCzKzehAYyYAOZ3R5uouM21CEDKGAaV1dwsEvOqoqqK6DYJGXDm9
l6rGRAEgZjawAmOevWO080yAFzAosU0Go5mv0bE0cv/BNdZsP6XA+J1VeYd2lUY8FH6NW52bHld7
ueYlf2nmdJo3ew8k4mghnc58mMbJLoNp2tFW0j8dt5RJBdQF9zNsKCwh3e9/vnfQM9ucRHA4hg9w
Ot4cYLGhB8ar7aG5Cdys2fuu6r6OzjJdwVRfOgx0RjfoBAoKb13U83QJowleWzZ30UFEffFlwkT1
+OcTQoSKKAvhQALJswlZZZk51gwVSqW2EdeWFLvFCIlejeh/4LJBzYHLxs7ZxE/O7pCmmzKQd+h7
SX9IY+mlTdxa6fi5XKblSvfkwh1JC4G+ObAdZDzPC+590VMeizYpsczzD47s63gp1XRAJa2DzhCE
CW3ZazKFFx7UzdqT9AnV/s2W4HRvjKnOy9AaJsQXDPmXLUPnpulGnTh9V/xenG6FKZq/RKl2ruyU
CxcabT2QhnS3Sf3PO+kK+APdPPiBo5HbBzr3P/ux825MKa5EJ2+2JMWijfy4sXXcjap3OkN/xDQ9
zzOKblnZJ0sPUKCh6frx/S355kxvo/C6sXBAk2gGnY6SFW1N9b5klFFPdz7Imqcaq5ADweHHbDT+
WON8Gw5BBjjo7BfSt9PhROlM3aiorzVZGB4NU3c7Y3Ql5qyW86eHjcYhoQEiVFwgvAnnYchCBzNt
BrVro1nfuVG17vpFVveobV0LzLcfdVJgZShifxqVCPNuXjKnszIHUQWVUC0wh2nzklBeHHR+cVhq
I7pJQfjGqLe0t4ridzxF8x9r+W3DkxMiggqZjALj6fAV8l5N3gP+qRA82lMpaz+qauOWEorturql
8dUt14KUN+dgG5Rm6Ybf5yk4n7MyO2zFKtHuNr+jpIeRfmgMvD2dPBWH9/foxaHIuQG0UQhn+5zO
z195cnvPUbtgDdZjL23uFp9gXXXBcuWxfXOXMSuCB7QmKZVvpjynQ23+VT7gDrUzI7G17J20/25n
tZ5joVzjpXEG7wVaRvbl/RleOOuAjja8wJZFgow9HbblV+kmYandbDXIFSwj0YVohv/hO27TItnh
+QYufTrKhDUvqS/7pB6H+uh4hr0L89CKh0lE+/9hQhtGgCuMEum5qa1YAiNyUyZkm4H66FQcUqpp
PnJD749zaWtQbwLDyWOHbvr5lAZK3VnpKgS+8moftvL3rCOAKWN0ra90aaSNnIdoHxOiln/68dAZ
jgzKJM3Ot9bwJgS0ErcyMh9G6ak/fWLYhPSvWCNwDxto9HQowSYxpoDKiKfyCSvnyTyG68xb2rvl
7fvf78L1T0MEwjubAo7MOdOSLZCPiJjXO9H4uo37pTTlo02Md1vQwswTFYTq+58PSXMAxNcmAfym
P49BnJMzQTxQ+ynfQx91Y9nPa2zhnX2sw/Bak/zSkf7veGeRwlymLOaIPainLTdp1GAkcraX21Cn
DnoNWXZUbXFN6WhbovMXgVIGm9/ixXtjU1LzXHu92dY726jrPTVxMympqNx35dohdGqrB4EiReLM
vn3l5L2dLjzSzT6E9BEWfHA23SD3Ol913GA1UmO3pVid3TTA+RhFOXwyi6m9DWyOyvtr+vZwbORV
SgykyPDozsXvIhvgSjsi0MC/HfoQtXE3k0fENgoRf3yJsVv5h3IGIksMd3o4dENkxl6m0VrO3ms/
zks8e2n1qeoCdeVw/Ctyf7qKCIHCLaFvB8gCKvLpWNLzS2NlZiAy1yHHaqIPZVwbTfG9nOsGRiBG
wUnbV2JI9Gz1j8DNeWwLqGc2b5XIv/tpgahC6AKNvXLxvX0xSKoJC7kooL6E5we3HZu2Klyfz2A4
8pOkOJeYWK18eX9d314PdJrARiBsTYkATanTD4Bf5FBmIYGNNG3Y4rnhxXSPo8+6UN/saQivtA8v
TYoBydOpFACb3rbZf4oF6+J3bkuFcxf6g3vooIC3H/Am969pG16a1kagheuJiMmb6ib17Xpl47SQ
j1uEx4asLGJwpiKuo1489dq4VtF/q28Ii4ckHo1usEFs3bNdi6yTScmNXRvKTNzOYm6e3GZpbny2
135xPaOI7dk2HmGPuJ+DJYVFiJhW/5jqSH8v/KjfpUXUfJV16N/3gwjvh176v92q8b6oNnNx05Xi
Y6msnPZVexWM8/Y247fHQHcrziLzcM4ACVJSZsfNO3i4Qx3ERlSYL+1ql3cO5ptPUTCYD7W3ON8W
y4iuJJeXlgrgwoZOI/hD5vV0Syzob83h6BBaD+5vPYvoKVrbep+H7msH/vdaVfHScECOoN/ScdwA
zKfDOXUepWaX97sFp6KfteHNNxoXDLQgnDDWlXutuHPh4vxX1Czg1iSIOS/p57Xv1sNodAh12ONT
NnRWTPXUvVXhdE10+MLDwFBblkcGQO51drhMNxvMArOcXe9143oIW632tUmOcCcAh9+VTh/uepHn
Vyr7F/YO8BqqmNyi1DTPuzDWRMWBbm2/k6VIv/QuTL0jRL1+vvecJVTUT/vie97J4WgpEIKH9y+w
bb3ObnAiTGrEWwOId+GsyFn3aRn2jd3tzEnrb1K7iKmH1fzQWVOG4pp2XtEkqPGIsKf841IX18a/
NHt4C0DzKLPSW9v2239utKhfU4jXfb/rxFJ8U/htxEGWZ7dtYIgkzOX6eVF6ulFNcK3jcGFnba7r
pKN8el7ms5QCAqFnDbPudyo0gl3rT+LZNkV2D2ShfHn/I18cimoMTeytQnkO4RlgRtM3aZCAqXEw
rlbhxhr4XlLlYLzfH+rC+aTWs+nNhFtJ9Lw12mgLjj7qGzttYkdzXI1uGniRPSCe1rBU+97OriW6
7w8JgOp0CUPp4MaExCfOyQHdUT9Mc7JBzzeSfDWWh7H35j/l6aKU9/8nCRrhdMQ28BdpGGkHWH1d
d8Lv6AoNy/rgFc61S+Hi5LazSdf3X+Wr06Emo7fy1C0Qai1G52se6fJhHZWBNfWSg5AqI//5/QW8
dCAwFqGYTRLKTXQ2N5X5ylxzREwzW+dx2tTNbTTmv3I7756hQC93Qe9FT6ggXGP3XIgtKFWAJN38
OehOncXFaBz0vZN33S7VhQ+lsOoSxLX+PEuElUYFZkMDba30s0t2aSvt+KTZO2GqH01dro+OZaXQ
NZdh//6HvHDocO+jVUqFC3mO8wJo36tmFSNplJ/iMIk2X7ubJrwikL29hvq5cIkS/TAtenlQks97
9u5i2T2oymrXOY7uk9mS7X2nof8hDGT0dyFKWq/ZONV3tVsXD1IDsHt/rm+xT1uLivEpcJERc/hP
t+kaBmNQb9gEfviMpe/0cxyp4rVG4x47h0KNlfnhXhD/xPXgR0ei9WtGhhdOCnRKUlaCEH6HN7Ji
0lzmIce63a2m8uBLd/owtRHw5HmfV1F58/6ML+zWf6uWkM05KmAjTyeMHHo/pwUTRrwiuy8bP/sy
6j6/MsqFw8go/xadTI9E++yNKLWVBYQczAkL4e+jWfhx5FTtYxQodV9gfPCRmEUR9a3X7p1LW4qQ
Dr45lwHSV+dh3Rwu2dSZFAGE5d1knQp3taSVJHI53fR5b9BTs+zdvDrNIQjn8vX9z3tpMaEa08za
+mkUME8/ry2LMlUuNQFpOStXTvCtJaw4oGT72zQy+0qudumo0u7hvgOsSBh7tpggedyszrkUVrbN
HDd93d/ZdZE/rVT9rxyVt0tK151R6LjYxF3n5NgmjDo5tsixRVO6vGS+lyYVVhoxqD3viHS72ok8
hQGV8ou8/02tt9PcMirSehexIHCnZ2vapqLXmVD9LvAERn9F5uV7WxsdFy0+4GVsLrZ7E6yTtw+M
MWz3ZrAUx36s0+JQNJkbm0PbydjwKweFQAPOz+hOw48rv+T2rU8DQnC/FCgwQqdiSHh0uvKhL2ST
TwiJdrNY7u11e4l00cR6mGsEsMLhYfU/0tLfRcKdsticfe8md7o/hrCRYIDjQeJo46DTCjn9NZCW
8JUQGvmrxvFvB2P8LnqsvJbRLQ8WMqh7ma7XaqVvNz1U7Y0tsulTQcTZ/vw/sahY7SYXaQ/LCUca
uTfWebTiEh1N8wh6HUXIaOgWeXz/g7/dFMS+Lm06YD10zc7zN0BlgVNqUm2NA0lC81Ek8+inH3pZ
eleqB/8iFk7XNiA5dbkueYDphJytrV44ElGFFFVqDC5ORm1arXGfOpEdWyqb7oYcVfIj/pBtEzsT
WJhkrP3577UzRmcfORJxF3P1wsdQd12VGIEev092hzOFES7hK2q4ajlgPiyGuK/N/kMzlnj6vf+5
3q4Ra+PxwRCS2DqbZ1EKyN4mLSWbUsvSTNzJDxJQUcZv0WQldMmx+vz+eBeWh+yEEIIiF3WX8+wM
52R+fFB0u0C6wkcPU0UvK5KHnztv4rNdGezt5QRojVyQHg4XL//ndAeqQkpv6QJczkuzaR8L20m9
71Mx4V+PhEYVPoF68abYwI932BmlgfOkV2mZHgL65vJQTptQ9dKV6qtN/7CPm8a3szg0m+xRVDkV
cj1mKeUSY31ydDVivxCp6EurYHHH1NEwYUinMHiWa519XvWq7NgMEKA/pNLLPgRpqB+m0DDFrmmI
h+K2zGgjF6WDXCIIwr7ZgzLycC9OwfYlk6E9D/dybP9uRphfSzKrackPa1ZL7B4h0Iq7qii1ExcN
4uVJVM4mnDD04KJ7/F2ExCw7l+NhMNpQ349EeNm3DrwnzgX2IGy0ByO0bx1hps/OXFjqBpUyPDFq
q+wCimJ++NeqEEH64/wKEASlFtDWVKvoP5yuEABTO7N96tYiyKNY4MueeKOokE+Oon25ZMH+ypbg
550eWRhIKAn/C4jYKAun42GY4ls98G4Aw2X2rXdbtR8QXnquJ5Tl3x/q7dEiNyVHRUeJBICM+HQo
fABEC8mz3dlTWx3T0MrugwU/TnLH5R7aybUE/N8e1+ncaOSxq7j4tpfmvLbjDIsD9gkE75J6uJku
drd+taXO9bHgP3ioHSf9u0eJV+yIYFPxXC6NWyUNhZk1Cfw0Sr804Tx94anOm7ig+5veu11n/WxU
27Uxj0v7VQ+ufM7nhjpKlos1fELymUS/HcV0WxkS+TiyLXtOusJvzXiw8yhD1S7yXoPeEd88fLY/
t1ZXp7HnV57aV6KcRbxq6b12WaWbBFCM+qd2puqTKWvj+zCCkENTYgpfM+qPVdzlor+lc1uuu7zW
3YuQhvkLrDky3ipK5RoHS03Avq3GV1u7+hXhN/+u7Av71zJiWbLz3TX/m/iuU3trxuMlViXWvR/W
LKzojsg2eMnGsn/Fomiljm6kfZWoHmr5fVVY4ZcVgp14qvvM9OKKfao+rTqbsucgddwBgYNeruXO
FmbtPacVOuJJRNjFwUMv4K4Mo/nVGTJvSAynHb8ZXZX3MLO6fDk0HAE0OJEPQpcBq8pipwGTVVQ1
0uKlLDbbaddK9dOETpMZ6xr1utgaqZEeGmoTn7UhSV9rfEOGxE/dRcYa2s/9qqNmetbzauyFoAt2
ZX+fX+WbcDqRLF1yzi4kjbP9PXHMQAMD+pr9Tt1ZQ1Q+wAyRQdIt/MGVwbZ74L97exss4KkleIH6
AjTy9DANA3yJRXsWBqhmmcylDg5hqq+BfN5A37bOxubbx8u0FfA853QY2u9uC5vPTCxZZ8a+DsV8
T6Up3XuCezfu7Gj+lApP3/tj2yOeW4buFJehacjEqq32GrIVb9dtxNOJE7bhlMLX3DTCz7GZKAja
+bwE+E/UhHWfA10aI3gxL+rQKfdz7+sk8Lh1e3ejAlotMgpi8ur1BiUVicRp3c4DUALbwO9dDZ16
nbF+d8BLTRkgClFP2c6OuiKIe6U7eZNi20BlSw2mnQAoGdIX5cnC2Te9XWVxOueptS8qH9eNHsLF
3spS/dyNveBvl9l25URlH4dT2IgDQMV1TLCTXOpYe2PwezLztj5GzpiXe2lE1gs3RVDvy2GOPnR2
P/9VpcJd4zZPvfzYNmL45uVKPYe6jX6MrsERz9Kejz4Jv5+TzG/cH60aAXXmba+f0hJGfSx6x9Kf
u7FYP6e2Mr4XjfCfAkTFTFhpnZgSyxOIlraVKh6MKEKGrihr/MHd1m7uZZbN44Nr6vBb07XugiNN
V9322dqLpFiz1jyYXTh/p/E33C7dLAGEFKn1Wbvh4MWGbpB6LETzgSZSI3ezWLGHa8OwSGOtw8ZJ
hB3IR6jg7C6aactnyPDBHdYBhHfoS9NDqZpUhzGmSTg6DBBa9JHUCgXOolzWe1FWNZBxDFGSAM2d
vzgP/IY2YIA7bWpPwKetsB1SpdFMh1a4C8S0cJaffPgx1m4svJacLMO2Me6CrlC7dKyyZ1ETtXzU
Ydv9lUkTNWiBI+EXOnx1GM+pPX2vkZo0gEPO9U/T7Ff/pkG6eE0Kowq/zbnoDCKeXhQJ8AfvG8Xa
5dNYDuFTFuIDmyzGEP2z8st/mjuFgQMaHP73obFklZiGG30x5zXN9r2fpWq31KsVABtKbWR6c0fh
ZzCJdEiWIBUftFVndjIPsIhinIuFBJPjzHlc+UvUvzZV2P8cjdJc9iDi1RP4MpoOTm55D9Xa2sUu
0m3lxF0L+RdgomEau6hv5KGrDPSiOrQgnAO9xeBnPZTLL5L4gB/d2toZbsvQg5y9lpb+TVJRd/ss
nNcvHqyV5UvgCCxMMWM3+iSvu8l4mJbOa5MgC6XcjXngv6Dfkn/SsCG9e6/g68XkzxttrutzZEhr
P6+OnCPxsXPGED+xulsHyZs4jA9oM1fRnSfcZkrGfPbn/ca1y+JpkGW9r1uf3zyrl9G5rfu5/oYd
bj/HbRAYx0wOOAigU5P9nc91+tRMYVtifaTMbx6w1iCuHEe86Am3ZcgOtrvjQJAWGpPXP7uGV9qJ
ny3Or7ErgyF2NUydeEat5cnOwo4tWozlJwEV2T4iNFXeF2Maeg+BlQKMFIurzFucMlwvkbLIPRmL
OqjtxMNi9sGJWsyXjNnmvM6F/FinW3ltLtb5c4qDWgqoV/gqrtJiGpNoBnc1O7ZqiUMsF4OcBk7Z
k09CJG7SMVcfYOX7P1Q9BV08rNi5JJtbVXdAy0aPsdOxqe5c6RTPwnAFYbmjVfC1L4R9rKacJMoT
lZNkuS/0B53aZf5iY/DbJr3smhJpWlq4MamRFe6MYZw/Bo7dhTsUaMIBSVc1fwpoPNTJ4GQpoBwR
lk3sY2o+xtYs8/JgdHUGoSlMs/W+d6euvKtWV/5jpKStt6UUzbLH8CczD22IfmkCkDmIdimfbI3D
eRa4RS3G9BH/04256+bFE9rkIElsNG3aOyinvsqPMlVNFjdijarHUfjiN52KINgD5F+cg+FqhAWC
cjF/zBNd3RhFk8nbdVbh/CTjJhZqFukcV03ZMdmEDJ9RJKnSpFXpACYnmAIg3rYsqTS63mDeGUYT
CY7i6kyJXKHpPNpsO8WfhtFHldnBhzGw3L9EHk35zarU5D9DB9bloW2irDrUZWu+LIW3Lpt2Zf0h
mDLWBHegDJuUvFzZ1napbqXtVT/MTV4mwaFUv7hjFWZH3Gzr+W4Z51rHRlNZr2vVDVzN9pzdjUh8
evQr7OYbNTt3RFyqnl6LBXHzeFqDYcAEDqPoqXM4Lg0clPZQuUX4MnYW9i2zNQTeDiDxGu5LDTAn
LnNvZvC+Dn93s/Y6sAdt/cqxNMcY3xejvJ3s1PxHumur7lZdWS+4ajh6L/vGvytQ2FNHVZZ9yEdq
uo+p7xM9mp3try9TJ8W9QYhKZJGyLKJHS/s2EKr8bOSG2fMg9tWPfB4bO1atMv+GX5vbcZouw2OX
ss1304y+1x2iVn0D8t/18oOXRdGNP48rhCXcaru4L03McrJpGKNEAfzZ6Rr+yA5cXOfeR1k3ICkv
1dyC8GqLrTwWLX+144YHj6xh+Ao+YPhQZtbCW9l16DsWOjXVXWMpXkycxvLvRJkuxvNW1DRJMAJW
vpvyMcsTFz9wRXRgGXeEqR40Knb9Wh6x4GsKCLu5dtEHXBoU5j2pXCygB+e161ruwnzV+U9wu8KO
jdYtxW2r88WOG2cs6+e07eEDNutot48yRN7ky0ronT80dFSymO7KGmF8WcsN/JJZH4rVqqLYd6pU
7xeO9ZiI0SodMoMhhMdbrksX++NC80dPdrMHirb2VDv6frlJXblkuzJoqlezlDKNi7ZRH3qjCH5o
t+KvSV946AHN3fJBSdgRiRDcVAeVRzKKwRHIr7kh1QsdZXfYj4UVzAf0VCcby5pikAmPU4rofaAg
izT+ZMuEVLw7lEosFCGEnZnxGM7sjq73pkdltesIime2pgfLmskUN/qJm3iqTT9i2k3Z3BIq/WgY
lq4TAaLmxyxk5OzG1kzRgVcmy7SYXfdktY0ZHKe8y7s75UGe+JrnOZFcILX3tZemMSR4WwbfwpXq
x872SrSjAlun6LTlpXhE6z0NY4rIenr0MlcH8cpPBSLYUL+IBtso47mxHQofIjfcZaebcOJZUaYk
ece9k3e0Y+aJqOz5Q6AXie1XavrPJFbhbW/ryUhqRvuJe6lA9lig0NE7pVMeXGlzEtscC+hjIbSd
H0wq51Gcqi79BwgBZF9CODP7FBSqd/bKd9RXaQVlFUt3tB4if1xZlspyXjMKDMibGYVxgySREe60
PbrOkbu8fQg2kYS4XSzzFwUDD3/KWRMKTGG6a+eSsMl00iy9mcMpNxPZelmXKG/y5A7tCusnDAVj
Ww1hsXUtp9gVqRPqA5ou9Uen8QQeoou9qNiJ8naNbRjrf8GI5d0oehd0tFXifsArUTdZ0ggZTvcO
F5S8D0c5N5zlHqwJEnrB3VqBxI6Xqe3SA0eya5PKH9ZHt+7tdBdqUS5xDkiOdzVwOwobAMympBy1
yo4amrKGh9HSK5e9h4+w0OF4k9uGFRyspra/ejVl4COCPxyCdjbNF9KjvNgHVh1GD1mBJ2NspuX0
WDpeUdyWFo9VrJwc9dmUrskns++sYZ/p1fyB51pnHlJhd91RllP7NTBnWknkEOLZm0ikkjZDCC72
oklhrNovtAwGE6Ml4dfhHZG1AxmdUml1pHBl+LuWjqmJWLvD2a0z3psD/Roji/1NrA2DHzyzSeYa
H2/F1u5jl5yDahV+CB1BHiSUBGuN/nMaeXyfHomhb71A4YfNmS1hYuosJKCsvb+K3h7apMQliMuI
bc1TTvnkoZtbtNN6swekZdOsMqhSBO0SF/bQP9ZzWYxxWwUrGD2/L1USduzbxF9Lzzm4ggpCnHoR
iHHWHuIWI4sxVpPSf/cy92uunip6lb4OLSLIzk3zGN8cXx5TfwLwR2dHhYRh+HHGBbDmLwTOLoGa
649h3E7C+UfV6IfFNv5R/SE0WiU/h/Uc0dFAES2IPW+cRxh8itJ+FQXlXgdO0e8bsIVeDBBdqaSC
xsN1FkXYj3SrUfXHMs/du9WZJdNAb8o6Vl5RuYnTSGyLVqcu1gRm4mwlTq3HZ2/NJlTmwFv8aoXw
SzKCPHjomhbnFLsO64AnEEmq55Rr/Lv2Bl4Qyb5c42L11wduBsJqp+kITXD4tX/VRZa+dFXdfuvX
yqgenGJcDNTlvHk/ZQ7SNRtjJU1kFBRfzHFZ2mRMJ9unqxRG91Is3gsrYjlJRxpwgHNhB/u8HudX
IRdwLgWINStxx9SRyeyJ4N5GcMXncJnq0ZsWHvcuD+scLhud0V06+W5JsKWMnewMvSRR3/m/fW/1
ontPDdlrhvEIq6/H+ZvWdKd2xWB0Pxs3oqxljW5wazXuaCdh7zjPs2MtNRW/tnyYC7MHzFlk6rPb
CMLMUUiWeRowT0r8Fg/6uHPsakjqWaX3dosQXTJBMHV2+ZxVZTKKNvs0oiPcgnftgLzkUa6ze5Xp
KcW3xp+amLrm8KlrZm/dj33mNndoy3u/siB3i10+KNJx35pEcLNABGt2fe4PU9wVkfFlre2uSTwK
hs3RrpQ++LauwtirfWi0/A2qYpVJJtCPVaPjNRhnybGLVL5je7p/8/SlPzJDIh7VzUpjH859XmH2
ng4/vXbQ9mNQrWW/d6LB/zXTJcE5dFUlmTSBadwXMpe7KZJU3AqcgRTPdsVfWR1syX5axmr/o1vB
Njal3IQJ4AD0dEjy5deS5tmdkIOvkCdBBiYZqYl97QwXeCVu8BUHzawNLsZeu18QiQx/B9bi4Wth
DWG2k+PcBw9T5Q4vtfaz74i1+eUuH82+iCnc9uvditfeL7wAhtuQiCvCedQs/7HMwpx4f3NqCroL
9SdbTbm4GUzIdjdh6kwcQHOuf1eTPcl9QWBWUAitnW9zXY4/dCAbI8HixFQUYaqIIkw5dfPNxnVT
sadWt4290R3bRIc6eDE6jy4JitEuQNgUMTte7rR5KImruFyazj7CYsGNtW6FE8RoEOW/SywFshiW
ALrcNejznwPGRn9r2WcFaVRRl//H2Xktx41s6fpVdvQ99sCbidlzARSqiqToRVHSDUIW3iSQMImn
Px80c840SwzW0fRdB0VmAZW5cpnf7ABNjSXlTMFdxPbHf26Zt4onW7JJ7MjKqoK+4ihuZi+x+TYw
wqMn5E0m4wRe+bzXxeR81LuJIYEbFJMMrbz12rAgzjRxv+jOT+G61BNTvo080Vyg7i5yYM3sLz53
3QzzB4gnaR6lJFCP2tJpksRg0Y6CAY0fwnnruZynkelsiWhFaCUznrYDKf4HUQsL6/ZlGr9rTSpu
KpGn3+qyTZ4XleefR7JletWoQD8JA7nmKGnS9UnhYc7z2RpM1sr2VWihG5JGZgU20KM2y0MjT83r
XlHjQDaFthmrxUgPE57LD71q5YPyc9otQzcUJcW04FrsaUCPOy3jhohQ9u7e+x4Wq6Gdtss98Zoe
QrFo85dOs9ufopvbDrpS7vXRtNplE65I990j6GU9JmNSXlANjD+dVVoPGSfox9K1APcqWictJb9O
6zbILBd6kNDdOUzQ0PVDnRoUX3tb+U+CynAKM9oNXwxjaLMdqBaviEXnkn6jdzwwWXHW/o4+jqrI
rWUxRQxlmv7eoQTNL61ghRtQmLX1qc/c5m40zelLUHbl9E6oyp8ZTc6eE+rCTbt3eZ/5TUz5jR72
EsztLh9E0F6UjA6+57T6rwK8IJtLRCW9e7TKNoE5xo5dhPSXP8TkL/XNunTTfVJOxVdY5vMV2ndJ
Ftkys55yWQYqbJqGBvLIKPfaG9Y2xb3JRToYAFc5hMPYOM91vYwJEdQl5MzKnW5VUNH9N2yt6Y+E
4m4v7TrTQtdMCOYL9xkjMr3V9KgmZt+vBtc2zGZJbxJknIOmk260NEqLtHkw3H5Ul3Q37MeVbJmp
30ThHC8GzkphSgt+peNYLRdTTc80qnJ9YPv0Gm38usYCLyx61RhR5mtBFStpLXXUjxW6ZyYgu9uq
t1D8SoOg9G9sRog/Kxxxn1pBwctZ3DLpTJX+RZrUc0HKpov5ntNAcwi7nPFmSIumR4vaneuoCtDJ
jcqyt54cu2V6IfGK2OYvWmO8E5klLzMaGUk499B1D6pPVxEneeNVlNTGwtBzXrtvs1ryJ0C5rdih
x5cWuyRzcBIY+tEmMWCO/jOZ5+WdEtP6vSqJqdd6a8ycULjf8kAqPF06a2sORyUq7egqPR0ZDLlj
sq/nIGgOA/nLl2BZqGWtbjX3XWKJelfborjHR1a7tb3OfhyYpebhKFzvHsZy/Unks5bHTek5XTho
Jn9yUfiSR64zNZSGs53QClgUV0dP3ehEFoG83GUy2bDGg9xcJRslP5PUFs/Z6HMxeonWpZx/nzkW
0N/xSG9kHeG4WhyQsiyotjyld8gw6g0CGaUgUQic/FtiTc4QygmAFrpiS1oxkTGHOoSz3i4hUHrz
ifTEfbCrxRuisfKXy7TtjCDsPEe7qCYl7avZFfPFNNZjfqyUmT3VK42kdxk6j2KfItGbk+tPlCi2
1TmfVgqXLHZodHM9FDSsjtLzkyBSjP6fkANyij3ss9bZjZUS2Z4hbnoPYqrCV8WgOdW1RnAAOz9+
csTiXfeLVjJkK039AnB/0TJh6jkIZR2U7wzmWTI0pzK/00yDu70fp6GIG9kkX1Lwf10opp7AiJMz
nDC/Wu061EmnHhM1GaSRVVPK2J2S4XmtGjCwfUfUCJFc7J8gLmrfCjbANwmyIYuYWSQf7dIsbgdJ
BhGts7CYjyPqchjXnh5flnfNGE9uOuB6ONXVZdWMWro39EG79Al8boxCit3shslLmmM5VGsduZgn
1GGXu1w8w+AY72xbjl6MOgG5F1UwFGbTy7N90JtpG2W9MC5WGvXMF1oxHgomY044Zgupq1tPs0+T
XciG/plrc1ETbck2UtB9AeFHMSwOimuvbwPSI2c1v9dgMr62NsKvUWlUBjmBRNEiSHOC9ohyfMT4
bfDCoE3627lec2PHyag9VDwUVn92MCr74BqVnlJEZOuztJxZj0rlttZOavR8yCaMsYi8drGf2wpM
91WG/ZIZ9gBNrpWmAiMSQW3cTutWZhJ8nOwKrGn7PsEaZAOVmMaDQyI9hIzUGOvWVXk5bUlPhOiY
9ugJhEQQyirM24pqp7lPzHr9XgN68C9auxmf/DxP71zh7/O004fjohlZT7e9N+kL2Kq0gRsEwbUM
1PyRkYXfHeFI1VcUROK7VqVEhn4x+Y2y1sy7dV6HgNxykmBFKQduO64inKr8ld5tQhJBU8ezK0rO
0srireCedmlX+jsCaxrQvJlHcWwBe9E96irELxSe8NW7vrIygqU9FzfKTpZPgmv7weLLycFySfNn
62dkvZta3jtpBe1y4BnbW7soOtLYYknolFv8TM8xzwqRIgb+tVZBRTnqsc1DrC5seLH1BCaQL/be
mhN6+7T2nc/u4pFBmH2SfwMbgdyTRPmzCD0kOoJrBrw0/fzGpkGFv42j7xQ71CF8VxqEJnAm/W3W
pLUeti6aYTi/uzKN20bI93aAZ9jVyGBjiFUFfY5y2IWd27lrh2MIzthfQJOU3V5p1NixPhdcNmaf
peshoOn+BD3a2trGDpWLmhg5HRVdqzGUQwmXLOuNFIxR6tV2WBa+Tw9I4+7genDTJrbXBlFBkj6j
2udrCRQy1v0x0EVoiVk5+8mStXZT03vG2LYrK9n96LK+z26W1J/xLhjykoQHH0tLEUVzszTjqlo0
AChTCqSzvxlzxtMqcgdLjE9iFGI9kMB0qRYWiQW2KVgAbyJMZ2baoykX20eN3iyBSIVp7RIHY08Y
TfFgpa6YklBHXrRCQlQJ672N+W5zIxpt0WnEcOnYx0F3oVVhq2mSZTe6pj3rWT3XF8UyC2/7vTpv
rzL0KsZH15hWUi3NX/32BwajJqkNYz/WkF0AkyEcW82ZKfPXWTeOzlKa87WwaaIzMeim5idC1tPa
RoyTKcT2feemyc8kWD38o+1iqK6GBnvc5xLnFfndN7g7b3S/TdxoQXh++cC4pdff15NLLhQlgVsb
n1qtc3R3X1XMCI+JMU0MlQdr9dfv2tJugB7SuexLA3S2PLBMzzQx3ey4FVci5gQfLVvTOdyGl5r0
y0okhRHI93t7QOqpBaBAB4aJCioPJW8H8sQwes5xctZRe6wdsyXTGOfOYViSTL0C4ix1wZFywF34
X11hud7X0fVLTx5y5qRpFtqLW3QDHajcrj92PrfM94DSNYkXf7HyqyXPK3nrKIE4dgTvDcnvzFsS
72rpoWwccmua6nc6Fbp98HHYmOOK1vl673Z8/jbUfUYFSPjj4Pc9zdOleu9murZ8TtTCtcGsRAXH
nv3No7lGGRxoi4/ThSEnrsxMNxml0F6b+0uljYg6u4NXTsehnvESkU2Vz1yV41DcAIjKxL6dvbG9
7Fd9LeLJqa3yM8oeiaDOHfw+putp68ceqMkaFo1ajZ2lqdpjlkGzJVKO3fgfS07MA5qAxfJuUA7V
zKpzv8ZykcgioPesPo3pkv3ol9XoL1yCQLlb7DL5pKV9q4epNs1PqGym5n7Rg/Ihb2trDGHPV5gs
cf3ZMSpmZfs5HcrEo9ayguWYdvyjiHtDJRcpx+X76IjC2elgndUBYKbxBAGJHpNDzz4Ix4A+XAip
RrtjkppWu9Iv1s9KeO0DfGjjvfJT3aNgGvJ4EFneMEQgRwwzAd02ZISSXTfU3nc+6h0Ame2hdsLE
TbLPckgHI5qcXk5h3XXqY22uaiaRnXR9Z4ym+KYQJf84j+VyqZHsV8BiWvdiHBC8p0hzY83iXGBy
WV5YRSHADMj1HWOgqYrbdLKvWk7PHK7myPimUwkGvXY+l+8qD5PMmbKBMtLqujqcMrPDI4DBOJN5
mkBf69VY3ndt59E+9aqp2YkKePtuzZj8PhRExPe61g/0pNEwxRzC8TLFXMMChFAZLqCPjLf7PhcO
oOmynfqP4I78h6SsjXKfNonnPbQ4fz8LDC0B7NiL8z1op1LRjHEGtUuUUzeRMy9l3KfBsmk7lB5K
zYiGVdG84IL7bpDGjFxHJeqLSZ+z4wyYub12oDLllNQO13fQN/QykJNjXoPYJL2f2dSzd5DWnSrq
xqRI6T0P+Pdy8TcMPkXi2aFwvP6zSLmb4kXV4DkKSndu4zLA+XZcE3WkrZXau8Ef6uwKNJVW42yY
11WcJ+v4tAITGGLKSPW1do3sG0L2vh/OmbNc1Qg/TXslRP65lzNwZT/LijvZ2TmjS9NvwS2qVTJl
kWZ/Rb1E+YoMf3C90RvSyKjdTEYgfZjDMFxl2iunBueDrsZ3NcRwdOCymipbC0WyyscsozIO8eJC
PN8j0+l39qKWO1lYU8crWRw9zIhAa5j2XkXEMwIAV+k0EM6DAGn1g0FL85nBPsiHqUSUOmJb0rgu
1ry7ShdSrHiCujMR3DZTQmfNxadSWPZ7PViSKiTss2/MQUnzndb1fR7qTII+pungVtR4A5DudugL
f08w8rM9ZqrZftQ7bYw8hlfGvjKC4d4Z0nXD/jnmdZv27h3SOsi81i1BPNTW0ldxlit1lwPNfbRy
IeqrPnDbLE7sqUgjAehAxomTpD6zHpKMvd8zFd9aCLT1J2dMO3qZhiP2hlkX9X7s7ID+DwUgTVi5
TNGojPFzw91rR5WBDs4zFItm3Qkd7Bt9t8xLYz0LclTSPWu4YpKi2o9Gsfp5vNqa/8VrB9+KhGiW
KeZwo55Q1E2Nv/syBPaF0Ft5PS24XEUoIdFl9+u6uTRbjRZ2ZlDJ7UkQzA/CmfofxFCGW2Wub80i
Ots65edi+FFfYAb9VBT9eiyAUlT0YDVGs8CDyqc+6533xoIw8ZXBfXe/1oZLPvA2SPM3XBlocWSV
fFSPdHK6U9GjppJqJKmiD9sV/b5eMudiKs6uckqFReQXuSMUwFGmC9A8OkHCU6QIt14bP+o6etBe
xbfvtAbYpxJMx6KsNMpRIz/zaL/h87ZFf8FBYWTSUdx+/jf4/Zga3EQJstQ2LsNX6CS3jy0WA4ea
Ef6fL4VrMmBd1KO4VU4JWyjwGJUqOy/qDHAFlp/LQ+qW4yEzRHNGq+QUVbvpJW8u7b9MIVCiO0Ho
ZXPXcOwmP0qKrgnLBLeE0qvzgyoKN+zG9RyJ4ZUNsgGG8aRG3gxk4MlXV6puTYCQBOAHlHlRrdNy
4RNIz7zA154KRDOcVhP50982CGT22iuXIoiA8GE4O4MAtxKj3FWTw9i36J0zcMpX9oaBj7tJIg9b
gkn9y71hghAfBhj+UeCKr7mtl7t0BmOej+05eZDX3h/SiKhVEdjZjScoUShyohNaHkR0QPpHAAHe
dUXae+b9/UbY27ZFAE+PHeGir3DK0+2c3qE65GvSJE38tuzMa1Abxq73Net2Ev4UFVWWPAh3MT4w
WRxjE4zM4x/HEjg+YL5t7kwYNdur+NuBo7TzoGnwUoce6HyUB0BVQGlZ1p96lRiQu7Yt6dO5w/3Z
OlnILDKY3BiewtL1JjvEYgA82ax35vM6d+dkO3/fKhYikMy0gN4SJ4OTA6dlxsDohBJey8rlK/MT
hpsKTYSPEO3ycx7Tp4SN7ck2rq5rbbLzPOHLV1gUg5Ew5qDh5Rn+dec1XwRT6j1ZzTe6X3UEv8Le
lek0n6Hy/B6gWXdT6OD8bZDmk3Xdxe81EnrOgzM5+w67rkiMtrevg67baamrIt2ojf3b++XVh8Wx
mD0D2BgCzsuHBUyy2KJkriRpZsBlB+oOxk/tFwwHQ2mXIjYNAZIUcf8/Pv487mYksvFrPRhAL1du
bIFBUL0EUWKt9YdKq5sHZVW0Uudlrm/ffsrfAwAUXhSPt/uP++hUOCa3hqKbRMBaTeof9FmJg7Ey
R3h7ldd2qUNFC7WI82+cqg9Qlie0UT0C6OL0MIZb5lZjU18p8PFnbqDX9opjwvyCTOpts6CXL28t
g0F4KDBFAWitm0Wq5MYG+/PJQI9Bj9fGTuaQJKBw4rcf8bUXif4dLmg4KkKj3V7B38KLVuj0P0cq
23U268+VmTr1rgqkNe/eXueUKrudQYiVHoROB+0x6+RuGDQD7wPlBlAJoAoiAcuJK6SxYyIBfRIA
A+Yzo/O9BwR5M1v+n1pVbssTxh2PySW6qKfW7+NkMp5luBwliGRHNmLtYWF6GM7NBdqGujynwPfa
zkGzcdNitejbn+prZohwFAoaa+SP+rTHA+Y+wTRohz+af+aSOrfSyYtFQXTNleDFpm7rxFVtYPhQ
lMmuFp198fZ3+OpSm0eriWwFcmMnB5x2VpL2iR1EtpbbXxGqwAndyrsPXZ6d8yj/PXXZrLX/Z6mT
y4gEwx0ZNAXRlAWIVZv4iab0z2I8vh0AmXhLvv1op1HTdEhcNkUH/ZfCs3OyHsUNYm5jOcazNhsH
2EcL0CwV7MvNO8CylmnvpbRwLFUNZyLZ6Uv9tTLCQHAKt1v3lLtYmCOcRtMcY38o/Z912wYXJdNf
hPGN9swZfG0pFBN1YjNqg459EmNchPcrJfUR0uzk/wRSb0fQIt7LqdfOlQmn39/2VNDFNn3gzY3h
9LxV1dibeQqKVbOWayYuxoe+nvuQ4YT7UPnVOVbcafRkuY2ci1IMmEUEL0+ezJAjxid+MMWLloOR
dP2D84s0AYeCoWnb8jmY3p355k5D2rYo4YS8zN4KveAkCc2dSUivBZnpM+TcHHPK44QUyVMPV3hP
xuHENHnay2wU/pdMLfPjH29ZUhq+Rcoji2c+OfhTyhCtV7WMa9XLgyz3bftg1el4V2e+EzNqbYGM
tOce+pU9BDM/QNosQPcQ1tTL+2IaSeZZRMZlXzCncU1tjchQ3Z9pn4MlePsRX/taNza+7W8CuGym
l4uJEWAIuZmEKGXlUVC7803bZ8NdYqhsLwVgM61r9TNfq/HK3oUyhUwr8oOYe5wqlVe5l+pp2UmQ
6L15Y9K2Zeriu/JrJdvgKKZ5fu9la3lZyMG8p8KrnmkKW7GAsSvwv2FUlgR1TmcKukactIkVGpiL
n8ugX/2UINQ2AUEwpqdbfqFIx1W6AJSsQ9AT0l9Ddolz7CttOPauU317+7t4bbd7UF0gpINd0E+z
O8ieTW258xhboKI1MIhalcQWiCbAMktzhZdqvoO9lFyVeTUcEzQvpv3bn+CX6sPfWWvbgSM3cnG6
RxQZCMXL7dDT5DQ3B6O47Nz6irZbvffwPz96aV7uukGtUTtI53rQ1y52qhYYN99wLMaxZJQCwOnt
j/Pa5sRqxifPRizCPpXiAcCfJq3JiHmds/qqVlLdTzrkCi1zvpZd6jFjWsSZvfnamkg+kPsiEstt
dXJNzZWur9qcyhhmUBHZypy2UZT07gvlT2XI8I5uQp3Y3pmb49V1MQvYlCqBJZw6ohlMwdeMNhvm
5ZbL/EA2m3DsiA8p05QM2qymZ/uiFPaZr/zVdRE33KIcRO7Tb7yV2ZKPTiNj3ayso1eUrgusWBZX
Cazv3dQqg6EIZLIzcWd7jacbjaPFFYYgNgKO21n4W1I8A+8dTQumB4KZ01OeL8POHF3n6e0N9MqJ
wtgH2jgHGL3IUx0BsKSVI4N1iN2+LeIA1aELaAGAKIb0J7TlKRrMxYxIDSz0/Efr4u3VX3m1sDV1
DDxtA9Tead5BnqD60sjYSlXhXhUuqHkfT6YDGeoQy8ZEP0AM5wRzXglaLEo3haxgY7Gf7F9uMpRm
A+6scWSGjHIKt7OiqV56SR55zjz9+RlF6sjcLmlcl/XTO9IfNsFl15exXSntanCH/j4D2dvudbiR
eaRXMt2rwFN3f/5uqfxJ6XixJlbML/ePhDHhgKaXsTau8qBaoz5Kp9NjWLb+nQleHYJgr+7/F4va
tDdMpFG23Pnlol095HrlcDO7ZdZeLTZ97953tG9p1y0HvTFvMNZV5ZmT8ko6QBrAFjZ5jyYK/C8X
VUnhuZWdyLhN6oEmtzU+Sjw2K+6HHgrq20/4SpKOsQVsanYti50W/ZMEQThOMwmXgltsQR+7dObV
etSYY4YS9nZkodG9l+Xaf3x75d/MR7l6GITiILsJZ22Wty+fU29WrngVgCeiU8B8QokbwRDyJwQM
tc86C3tUq+udb36XdHDXwSgD5tBM/bLC+PuJaQyARHNush2oJvgCb3+6104V9zIHiyYlRcTJl+BM
s64RubkXfcBqPl7pkIdS95rJuB4m6fSnyn6/Xga9azqw5GR4Zbx8GSrzDU8ISpZspGftSNQLTJqT
h9yU5p9fAJs+MLhRZ1MvPjXDYVZkDRl8sDgBY34g5f3QcMoPBBhql6B3bgOzLuM/f50Y4qJ7h4Q+
/jsnBwlKW+sC4h5jp27pFRjNeDvnjYqDBGCJjdfbw9vrvRaJ0djzA4tkzscF6uXr9Bsd303VTPFk
J/pxyUYDDv0gn2A/GmhP18mN27blub7Ba5sGIVN8XJC83FQTX6465Vkwp3AK4mZ0rMgNBMiyKtd2
AAO1TZLAOvNNvhIpLBDCtsX3iRnI6XqdTwRm7DzHjkrL687J++fetNWBflr56e0X+sqj0SlHCo7n
o+Xrbj//2/XtrPQ617WYGUMCv/R84UEjdiEgaiPgb6Ti1zNp2SsL2rCsucSZ9W3afi8XbFobBgpk
ibgUabJv3PlHbefmEau0DvWjtjuzQV95lchpouvLhBdNidOyiEH6yNxXn+OBoBWD7CsP4Bps0OXu
OfHwX6puJ6nQlgfhgIbMF93kk8DnZkDH3HxZYllk6uhYqBaIXBvvi7Ewdu4sB8pPvbnLx0G/HDr4
Nc4QrLf6PKafc5Swv8LqtlE4sPrjtBmyeJaTPKZJP974FH2X7Ifi2EBiOaZpKc/Jk71WMMBToEil
6ej8bnK1GhYWmuDfYqcfWiBCCUQsx1ycKyzqmucWJAdZrFrSjwH38UUrcnRHgAppP6TV5pBCEAQY
dm/vzVfuMKYBjMkMch2PAdbLraJrLcKoPVvFcKUG2Kj2N/WlCVUWEF2dYZfHVQsGyJWtdaaAe21l
evM0splFoFR0GmacET/4LF3iQve+Yzhhk7Cv8gZGuRMb0qye3WHKw3kIxjOZ5ivblREIcyVKNrar
ab585BT2VyM7Y4kRRc+Al7lliEegFTtiOmfD/UooRWV7W4deOPomJ89oySq1uA4XNBuSDZxvz/UB
pM7CDHcB3KjW/ugJczrzgK8c/y3SYEFBYqCbpz10ZThjX7YQ2zuFwokOIhasNnIdx3VeGiIA0h5d
9PY2+u2dsptJMJ1tNkE777RCYfTfGos/Kk5fPtwMRtYczNaeD0Ap/3QuaLIUGxaFCrIY/zc/uq6o
Jrfw0MHYQJeXcO/ysJx8cEZ0tM8kMq89FUpTFt+gj2jN6W3fGJ0qfFdTMVRgOvR1b4+RA2glA6Y0
V/Hbr3C7xl9ENkQEaUyikk6DFeDtyUn0ocmAhEU2IQcufQMCm1H/urYIsLy9zisPReyh4DF5f/wX
vNz+RoroQSosFVcTOgg2nC/4L/j8pkErvry91G/bf9NFdEmNidiUHr+0Lf928bllgATB1jCHtiqO
chy6eIBduZOjpva0vtWzblTz/u1FX3s+2nPWJidLJXBqhpWhkQdZ1QB0BHwN3Qwzf2gUPTtPAo79
3yxlYUGwPRy50stX6cJ7M0AtbvgmiUutM4BaQn8OSHzg/dc87t++Lf+e/mjv/msjDP/5H/z/t7ZT
SHxl8uR///O2+9E8yv7HD3n9pfuP7Vf/3z99+Yv/eZ1/69uh/SlP/9WLX+Lv//f6uy/yy4v/gQIB
L+h+/NGrhx8DzJ1fC/BJt3/5//vDf/z49VcQW//xr7++tWMjt7+W5m3z13//6OL7v/76JZn5b3//
+//9w5svNb9380OCFq2+NN+H337rx5dB/usv759UGZhLbZuNhBWg01//mH9sP7H+yS7fxLTIKxlo
IB391z+atpfZv/5yrH/+ktniF5GW1oEa/PWPoR1//Uj/5xbIGJPhcOzTbbH/+r+f7sX39D/f2z9Q
ELpr80YO//rr13Xy93P9CxNFBcyknzrxtyBi+OuwqLIP4NUJ7T3EecRhpNQpfWekH3ZeKV0gPvYg
48HDNqew9aKONQ8ZH2c2rdDUFwqbYjYvfdTrPq3F0jyLZanmCMKxX+1RXUQpIUV1472NjfBF0OlT
1CjvnOHPFhZOHoN72tnMd0gqAdS83Os6FDxh+b0fAqe19p01yTHUU3uAZSiT3VDV4gEiB/BOUG0X
+qrrZ26YX6YCv30ATH8ohExkLk/PtbJFW/ez8tEerYp3faGX13LOubylkAUiItYIlT2dkktoFdrR
G8GoZqn2WEG4uWg6rou1pyAP1iOfcrhdp1LcInRGagPi9ND5Q39B28awUQFDkyBrOu2JIIMcPfCC
T8U4rPa13RuFC2ijXPfOLJPL/3rVNYzjt8OKcRo32TKAsDYVctSjmY1tIe5vcbOBnTF5pUBTKy+7
h3IogpsBwumwX9cucPdZuy43sx9wQZSLD+pn7BZZR6WNcToCfNlzMM3VF69PGIDoixXA5SrTGThS
6oyOtpsBkZ0r+al/f9sfvxjzDNdohHhMgl5+5tmywYPKxgrlKKobw1h+yLJbY40HRHuznK7qdk4u
JdJyJpppR6+ekU5MpfMV+kl9O1kQh3fo1tc7Y8nEIQHt2t3AtByv7NKYn9Ys978h5ovge7siJhip
vhZPEDq0sCqC+VLl1ri33Ea/8+mmFVBTD3yNYg9X3N283q3Dkpfia7nI/prcon9GJVX9bJkaPAgD
Lha6nOM+STrzptPA8NutrcXetJQRUlZgRim/b33V+HE7zs0jVMrge5usT33prx/aUZC7Z03zQfMq
dzcikgEpphJXsAmCOBmFuhuyplJRTmBEpaheUEoq3JtOdcN1Cy/jtjdFFvXJZD1bvZm8c4x1ieBO
PoAHHm4SCQx813p1ty/7an60cOaEB6glF2IBex2u/DGQw3i3ep72Dj8CeQGrO79ZiuF2qoL90jvI
pEIjDEb9k4lIgBlCjJE7eLuoUjaauTUjA/3eyNXchEszuYcF/YBdvfjFdYry9M6dEAZJgpaz7XJ1
oXayEW7L7tlXWrCf3EneCW8o41IfL0UpjD083zY+cyROww8eWJTrNLtonQK9PG3sQTlBkJNSPRr8
icGtu3TQrdphEgez6/qf42LqRwULZKcVubqd9bK/Vq73LDUTGdS+hOYRLkJzjZ1B/rZzrbSpuKbz
47SdftPDSYW+q3Gm3fu70iLhigKczjLpv63/NpPxJ5KHdoKR1mn6DlaWHwbzuhDU4XQs7CBAndMP
HGTnQ4UqXaynm2BIlSef3n59pwGFt8enQDIVBgQDzNPYuVham62emUVoZoj3Qc73i7VBjki3MvZm
L9z3dofEyduL/hbGyM1p/TK3RGYS6OKvWv5vYYw5Q2pqI3TxGkroFGfTLD7aXp9+G0uLXN2tUWY8
OOgGP5VlGxwS3anLLlzGMfk0kZKGMgvsT2IcBlQMfXCvQGquXLHsEGwBEP/2h0Up/CSAAaciI2CS
DE4gQLr5JID1s4c8hta7SE5MUBpG75YP/zVTHTTO0vSSQ5D5O6MXCvpx7rQHOblXkDHgXS4Iq0TD
gGyw1phfOttu75y86m9KU3kMU8z8gOScgSxY0n9tLO2Ya21+OU2yjyqnebaUQJPaEAYCe0PySDpd
X7ii1pE2s596LZ2N3eon6mDrIN6TtPMf+yQLdi3OluFgzE0TZdKjf6HzP5GJWVAIC8k+BClqHJmJ
zLYNJ3NRsPlWMY3Pg2nRvbSz4M4xoGb2yF8lqC64/h5SUPY5Z/pw2YKYOhRt0dPRoYFUpmW/Rqnf
OnttFu7joFr9qIksOZT1AO+GQXsc6KgpQqixPzl0lDPkBPnja2G4H5dWW2F2t0VBs7Kc3zWaZmuR
5w6X/Wz2d44jhnupNdN3O82NPeGsvAHkmSY76AHrZZ0h7RoWnUnPrNWWnbcI6zpzzPt2KCgvTav7
6CbYw6VQJ28c/CrvNHziLtME+yEU56wLqn1oWqiKbyJO+IGVdXY5uP162VfudKitIL2tuwk1DFdP
odck88Y/g9mMi5hn2V8H4RqxTN3VD7WRqboDMaPdjxbqdE1noSwCFiJSNjPuZYDo4Odlnuyapu++
GJCkd5JZuA/Z6qJOYbarfHYxB02Wd4X0L3w3l/s6cT6aMHmvLJF9QEafVnkfmCGtj2tfkSkKaEah
PjeMtTWnfWevg0ToeA2+1tw2hwb6ahsi4CArtDi7dmdNI9+z0/rXmOM9rapKrodW+rc+UlHRhC7G
tTchWkkzwjkMnn4HFOZzNuTLg0K1ItSKAVhfh8DILhOVGw9J0bPlzUNhrJiBFsnHtLTa+3l2/Y1T
C0+HXOgpQVvqwzamv0DhyboCqwBCafUPgCIkZNJSva/hzUdp1XUPUi3l1dL4KuoK97nRZpjJmj3f
9W6n7ia8QC+1xrePa006W7X+IammGQqQ9L0dWnsIGcMxh8o0AeOGyIreU96gyTgs8jPf4fzIAPNz
0lX5ZSAX8w7pKecdBKP2kmsOM4rSwRTTdNv9ptuxq1Ot2Flj9QOqsXZA8mXxkGS0JmhnTWVeriIY
9nW2JJFbIF3Ui+wH2BqzCYvay/8Pc+fVIzeyZts/NGzQm1cyfZZLqYxKL0SVDBm0wQj6Xz8rpTOD
lvqebpyXiwEaQqNUSjJpwnzf3mvv5tKjiDNaj2mziARIdHc7QHlYdgpryKXnhblM1lq+N212Swb7
vFWuar+wFjNFMiKp3A2hH54ct7avXlbCK0M1PDed/bGQmXuqbZgIceXUVmJ7PMiraAsvtmXeb3DH
L4eKG3DXGLn7hiAofDH8vj60jD1PONjlvdSgAlmq5tvVKZYbmNQlK+PSCIq9X8y4T6ZqAq+pRT7t
vC7AXdUXlo11KsrTTyjL/R1EefFNBQp2JaCB5pbkkBxulDuRfGnbe56x7t2Yuy+YjkKoUHYIO2NZ
kioncN0qwaEEWdafRSXWe20r7xx4sxmHwfriCP97yxsP5UrvmRoJhcdTDYe4eLArlM815J9Nii9t
P0SB+zYKWKwRtE5TzhRsq6gMnjE7Q6gYoyZigbaK6Rl7Y+dsIBlUwKMqq9sJo+zvJ9i6X5YSpRXo
mDyWeiKOYm3GdT9kHSwkYJzbSPbpIYKJd92xi7s8903evHIy7iZKgR/zoiFA0JdaAOvqDNbXJlxO
iIiYeyDIjRbEbFyb8/syEB1I1ElzawivhJNVhcUWpGb1VfiyRCi/1i9hk81XG7L7PqTL8DEfDAb+
xd2mGgtSRCbHbeF36sALbd2VkYy2UxBxZ0YvgBKmQ9n4J+iQbpKVAZ75rKHEA0x0Vuk+mKoSi7Tv
tq8wIWnO47hWJ4txjPBK1zZ4A67vvpQYWIGAzgczNet7UYEq2EqP5OItzCibstMMOeVJUAfbAYio
+83sDeYM/9O0vk7D2mLEL7SQP49UTIV/mwFZdX+423FVhoD5u8WEN0D+jYyZRib7ggbLb78OEdko
LWd8N6I+AsbuOhWhNL653rBQB6jHu7aFaQF9FAMcrLNiFHtgCfPDROQrBWm/hQWKefOO3NxwsyrT
ORYeg+9Q+3WNnNuaH5oARF+CbzL3tlJmSu6AT8K8nUbRTRuzYo1CQADwCuwENVfXLAVF7UbsqXiH
N8zj0TMHr7oPZpkXxXs6N5nz4Pp0FRM4RUvJKtgCNSZUampghKEc4jav+6+jhJPk19q6k4VQhx+n
WpJycpSqx69jT9ajxGp98JrKuqup+h4sWHp3RKujn7aYjNm8gV1diHs7pswyNxbgID9ur99ezFO0
heW5fKCr67Lmttv2qV1XQ8R2trAEctoRq6DH1TL6wB8/zEZt3eU0DADvAkx8K7qWRwPUNwAZ1/BS
a1ewodQx4RBir9PrB5lNpQ56VtGNh41vszpO9SrTiPMAmgFp3lTyFdwF9DgFD/+DLaOgg+qX9SHK
8IIHloyZI/R9vohuVu6GBvjcb2wj8Cf+X9YptxMYlI3x+QEcULQdKhRD2yWf1EFp27tvWSc2OPei
mm50E7VnyHiLRdyNET1HWculg6S7xlLZ+qvbBtHzgtKqS8wV6QYritl7AwZlvljRqJeYKvQsd5I+
4kNBSeT7GhrFrRu14c6zkUC1MvoBxNiEdn2CstipZMi96KHBzb0FqextpoAG2bb0+2oXCQNwMyC2
XW42F1Ot7hu4RPuWsI3jhEJ3q1fdXKIORmtmrNNdPuR4cfS40rSZg/TRqUo1b93C+9LmvQWEgN3U
yYF3dIhUVd4HDijNobLd2zUysVmC6E6q3lGnqbLEFrDMdaemI8KwWEnsQuJC3y3dAX904CwdOmqc
Z6tfoILii/lKUvyG6WNf5mZU3BAByUpFIkWDK9V8b5Z2vq3T3nyU2E3LJF99Z41hi1hi13RyeCUm
4rpUkRZE2dZiBkkBG8ei7qBxQMVb9qpzDlRVXB68QGqVNFirDiS8pgszKAZ4GxViEkC9PhYViDgG
TUtxtaH5s5zwrfQAKyw4l9qYv7lhoTduZVtH5ZjzySpG60OBsNFPNDv/Q+uu2a1b8mZDd1yeU9t9
YY35kUbRBZ+lSIxOqrNeTGuPa/QDKjicrQ7F5CFX71nrtAkSWJh/PPH3cmYhhT/ZuBjTwio9FGq/
rMYln0xsDTl7ScP3lq12UgBHWDyT3vbm+6wfh3PbFu29rtf5QBUh/Ozkjf1Q93DMzKl07osMNhQU
SmtreUJANFLZra5K+uIkQ16avCueRsN5QQrqHhwdtnfQBN+gBbTPiuxxH4+RjGJRCLFB/iwOUaqf
s7bzX4fZwFblZuqrEq7YrCvKp4n4IFh4Pp52W4E4sg25w7rqMmf2/aXP8WLFvJmUCC0n2LeD7XL3
na+i8Z4ie7lde1qMbaW2/yXA8U0FoYWxp8M7Ni8AOSaIJKxEnxqWnWIx781ynFGzs2NzLPWu/f5D
OHhf7NJ6aUbG9M6UH1Q6fCyN4jHPlzgrxRtQ16cfO7F/VZp/qaD+b/n690r3Y1vz3+/F618K3v+2
xP3Lb+2/tdcysv79o/4v1sEtOqT/vg5+7N+q5ZcK+PX3f1bArfAP+sqE0GIkcdnAXp2OPyvg/h+0
Ov2AxRIGYHox1z36vyrgbvAHUhkbeQpRqh5cTUou/6qAO94f6O2iq8YR79R/WgH/S/Hh2tRC2Uod
AA0+lqJfK4OtV3eghULQdKKfzrTu3vxouo51tnNY7UInuWfl/2BfYvP++36epgDlU1xZVItx9v0u
8LCRLirX6s0Y3rdenyTQ0Yb4llAGG0JUomEzgoLyb9oUrN1dUYRtcL9OqeVRi3eb7sziz1MnB266
2jkj2zyWaoE1JyNBm+sR+5PaSq7tVyuziaIsykyxxlF5RPWxChbzFV666RxkpDp5Ap5WtxuPAb8B
8TJSwSjB6J4l22cAeqQGvJBatnzFFO50yapNsclKEwxCGujx01gW+biboA8gvoyYNh8KKF4ffVDq
wOEmufon7Ng9zFldpQ7m3cj95CH0y/YGGd8LpzZPyEzwNQcO+3mH79DAKbRjBOIAWZBFGng3I7bm
8MDKRSwbiwprcM7H0Yc/04MdYNusFKv/Pq3n+gPpOqm9AVoR7WtrQHqBD/7eJqAjT9BKm691bd4b
zIp6Y6wZnGdc37tc+dj9fLiRnzDXaxdnuKZMkk7AqMHAtLPxUTsMXNt+Ykt2Y64pS/GQ7Uqxt3Kr
fJ2sxn+BmJtugXj6V0h0LV9ZDKp76g7T+0CaNG5zrwRqnAqIMYxtKPUBxCx2/W624FBIv2DyZlMF
zIHMGxtffm/UtnUwS4OfK4eaymDUknmvM5HzrUs2ZUlqOx9Hwn29ndNUjkxSH7FzdrUArMNUOR3o
xqgbHhDUjeNHXRPsw6/U3avpATz2u2XB4qwd1m4ZsP9TIfr2rtSUZ05hW4vHwG2ZgotMsx9b2Gx/
Meu+I5QCGocAqlnZ1GKdXqqkg+F8ZWnWTan2K6CLlQoLeP30XhUQVb6Gjpot5xRFgMJX6IwrSHOY
l3W7613NvmroRKEfarOVrybOf/1QGpRBk9HtXL3rRYU3Jh4D0bb3HHrpiI1I06akCxWl6qHUlLQf
OmdA15Mu9SybhKiMvNj3ZAPwtHi1qS9zR6lKxvDPm2HaTLbtTA9mNzTFUy3tvLpBXDHzFPrl9bfj
1tSDY8b/+mG4WmI8MFtfC9tmxCen6xwEJXXbEJZSAkCcyN7Ygk41ou2Ommw4evBh/M9uZgAuW670
pJ0M/Nx4YZ/OVVupNfJoi1W+jmL0na3RTTW08GngWyO24S+RoYYXSMoij4dRd/oVmA30tdQX7YY3
BfrcFAb9vB2WLGqSZnT59wYLYXPfBrNVPo0VbYgNG1Mgv+7QVsVz0OeqfJh8V9aPPWAbvSX8iHGj
10gZtkUUMeEXfqEfhYtX/Nhh5l82lBPD4IsNYTTYXJcP5r5hV/2t1waQU2VFH3q7ld5r3uCnKIbW
6nfo/0/XxPGdka3hs1O4ZbQj18J9zDoR3JGQYN7CszzksGk7E7Qd6pQkJwNyY4/UVOGH74UOjtBS
+s8DkJK95Q+7NfOenAVukEfV0Ot/QFYqYIvjEDywBq8eOs80MLeHAtXaKuazU1rp87hCvtuWNsTP
i283j41Tf+/adOrjVszeHjWzdRzWsYngrA9cfeHc5QzGVdJF7vSxsRgIK2G3X0llsOhkmf6lausD
jC2Fu817GQta6Q0pE2wQrWcJuqrmPt8GXd9tctc6GPOk9wtxDsegGd6bvr5HUhBu7Z64HzM1PhoF
YUaTDggHuN6YiHoVHdPupJZo0xnz0wTAQfYYBTTZ4cSGT8HtCEmKx2HcQ1iNjUVY24go59gf2ruA
vYn7CQ2VnOMhE3dRkT+HtYMpZyUoOKONErSAKMH8yk8WtXyglc9sbs90+Xx81dlpoCTmm4Rb9D6p
137pHpeo28H5vllt0DOuy1zgDGTgtLra1cg/YmywIOG7GVKv058REzGIDcUHZrBpo0idRE9Un2zJ
MArNZMdQ5b2swcK+A1NnXzfmIdc2FU17VUd6E8esx9QuWjbd6fhZrkabqAa4Wte5IBLZp8dWCSIw
ihSREIOzHwT6kyjcOO2wAbP1lc770bCqQyNsKuC6Xl7TklZ7klI+QUVsAvc3m520jBv0JY9OdMXr
khTJ1rWApaIQIKdh3bmbRRR5mUwrJDFzdMJLZ0aGFzt9d+tm/ikrm+huSL2LKdlSADTroUMNL+MY
XMwC1umgxQ1Z5QcqgICDSpS+ImXgnqM6ydxin6HY2ToU3o/LUj14Rk4/UdtbxPhOdoqM0gM8rJmo
jLIRR6Iq3otRgwl1e1E0bPQpScB/LMDWZOt0IVrIgoEcrltvqi4WCPFik4EKi6Fx9SMbiqV5IzyR
oQngU21s5AzMSaweXJ2iGzuA/dW0H63GO0yNXzwtZjrVnCqF9NhSEzRQ10fqtwCPXQhpAPdpDUJe
I7zLk0pn+dj0gfUWdXX2OTKk9BM/UFG5tRZ5w8ix3CtNgBCBH+EnOhfWyV3L5g2mprIoWy7kYtQF
8MpFcs1mhV01wA8IryQlX65wZLEdOjt81ICs6XYXE8v7FBzOVk9Re21aitsc8CNjIwzhjTmP+nVm
E3tQZh58lr7dIYkiUAZGiMM0UY7jzp8X/36wojfT66ptSCSNQ8pVW5V7cPqt/+6VUU9mQc8/i6nk
ZiaoRRaMcRCOBIr44wADePCTbDXy+87K5u9RJ+wNIRxll7SLIV68kERu/K+04K8dyIxOq6ehDaag
27a0vkH1akBdOc21iuQBbmP4YhZVf4f3jdjDhp1KuAOxY16yup+nDdRsvjSWemNDJAPcvzX3WXJJ
FeyHkT62HlV+XxuWBqo4Be+ROaKFNCfzFJYlleKAZoDSfb+psvyKk5/rhWmxmCUBK1XH0EtpPuFJ
vRCHoZt4GVZn45O10d1i8RHUSsegi9tSy52nyu5jB1PqYPPTGd47+2hTzPZGWpqG2JJl4xeQNMse
yoBFpjKpwwyJFTQvCMx5FzfVkB+ytnA/6cEfiS4b0L2TYh4Bnu+E+RxM0b6LPKTGddeTAqLqo1mb
M9BzgzGn1amXeNnk3lokA54yCJIfwzl4oYNlQpolXCQ2R30oBwCEZOGYCemSe824uPegsdnElxvW
o9KpvWWKhY2VIjFcu3naRyzaL6JyxcFlAD30nV0chUMgNFAxj+GQEoNkOjwHnaH2zeBELHaq8dir
oQEMVvqXkbX2ZVDUEGBg++fe877P5lwdgcUxCIM7AZGLsbcF2BS0ETXczLotysE8+XpY76gWVPXG
iAphbiEN11+6UOuaGJuxOWLNbQA0R7uhvVZQS0VPJF8Hzavt9GXwAdY9K6yMyv8eNHsPUrww3vFa
559MmFhsWADWHQPYCekhGK1oQ3gUnV0DgP2q/Pasg9q8Bpfm35hTQa+FfQ+Gb5ph9FHsR8iDPd6Z
JpfGqDddGHoG+Li5IEXXlAvr3pyAO+jN1X401gGekhaK8kxQQDoU8ymtSmNX2Gv/1CMGgAxUGMuh
0GZx7sHE72p7cl4jNjrtNxcIo5kA2ERGAdSvvy91ND1L2rUu+A8feQgcMjnG5I/1H8OxC28dRQif
O1TjB3aUZh6vQLH3ZjqySQvn7JrYMTBYL+7aAoE19fw4mdAbeaHD/LtfmzzSBc3ezxkCEerePqFp
dLqha7lKTrvBoLKV4A5BbwMmgw4w6pXN2NVl0jnj8i4nWxa7CMw3cgifMBVMYKFzKjMqN1SbvGqK
Z5j+wVmv3gV8Htb7uYxatVejCk4UQOpHiv0uObi1PtFjnk9NXRWxbinHV0HxRXY9ePa1t4geayPD
SDhUdzHmZToVtFng0DnV1hY9ciyzxFsBkI+GpAtCKHFGBvWWBBTiO8RSLMmQjpm7HVnuZPc5tx9C
t/TDZKHnyOaGFKvYcTuITfYQ2JuUJ/OA2OdNYxH8ICgulrtpKrQHVjzoQVfJ6nZKG+PYM1LfDBQS
k2EUz6mfizOjunUO69W7G4WyYsWouY/Czt6Ng5feuozi997UBFs7FAZrgEw8eVPXJEEHYrml7347
ssWmd+e4X8JhlS+U4fXNDNH1YqRmuW/a8Klwqu5oLk5JDbhunkgFQWkkZ7EFyq73htu0h9QmAmbH
GARSs0HgExPXImMZAgpFJ89EvURmu22FYKFP2FE8kM4CgGX+sI4zFsnGZKEh2i4nF7xK9XAmhYGc
OYjbG8e1UEYLpvz9TBnxaDajA7E2T43dtdpxChu/LxNeGbj59dTuHNXMMTI7HwTrQjpEDMG0FYkz
tN6zr0EIpA377iLjrR283mYSx9HIrtIq47TiC5e9lT2kM12u2rXt26prgucsXdbvRYToLu5xtN7X
prpnAwkOqONst1E1ugnBgRbx651RJnNvDNE5LVgr0nprzXMYNvRaKK5xt6RIlFDrh17BqMS36EPj
n4zyAUDuGNGMxzSMJFsygGVelDkxxIL8NFRTO+Nbn9et3RV9MqWV+Nq167KtBxcWbo71ezfVRt5T
sPWdkW6KfX0g2WaeJ7D1BpKEvr0x+iY4Lpqae+dXYyJbXnkCQN13fxm8j8SEryeIWEjmzIEsupHE
qgURegHSOmODccXnhmO2LVpIWTOOrRc6h92rR7Gf1D7X+WA5Q3e1y6RHpLDi1EhklbFC+vc4TBpQ
k9/MkItXtBzfPYaiR9MMvtXZzKw7ZiyCc1uPBB/T3wb2SgnhZclCgIM2spgvCtPwxumZ4FgGkMyg
5nxmf4qE7JyvdnnUSoxEzuUdUjbywZHum5RvqaFOMdakdseRc8h7Vr2xieKJXUUfzPAGDeHVI91y
Us7dsM79QRldS64azwxRi1NTfaTJVt4SxiQeyVks7+gndPEo+5WrH54DbsuJHni5Qy89W9sU3Jtm
A6RYKCizLL5WJBjtxmoQzhc6b+VbBY6aG7sE76hr55P0pNwXTdMeTYXoZhtEinAoXZaCNKM6my69
SoM6rvKgno/DaHkf12Cyx4O0++alH7npCSlgzs1UmrRq2E3TkWEA9M8wgU2kn1UfmZuhFOUeBVkn
Epw34lLY7Im2aWn7nysrA21BzYbWir1KwPrw1vvqENikiO2qXgfvkwyn7qbEtxgk4bLOzjFHrfZW
NUv3Zhr1+jSbw0rQSGtEiteIdSlXLwc3NLkNFfSxJD/nXJbLtAN4kb/kvmTxwxxqrgfFivM7izPc
l22QA7olBE7c0trOhg3uQXU/0+B+pTqFUqT3puwcCAfQaB08Mn+bzByTbuk8BmaeyCbqPJ6sRb+V
EH1OU96wHU9/1Le8auT/a1M2X5gXxpzejBFcQsca5YbRUj2JciDPws6dIk86Si4HUk5XlfRCjicY
Mh2lc3N6FL1Bnk5NHh7yICt/GXCInYoKIBbSPC976yX5xXvPSC12SikZTcbLPEmnOg5O2LyMqHa8
Xb6iewTOFlAZKJd8Jjs2oK8Zwy+q8s0sQv7sGNQpU+Q4AJK+tsTn2a2YYNTQUonII8AvICZz0qVp
nFvylOoIs0Y75eoL/5pFvwckn51aJV97RIBnkq3Sia1DQZDFlr0bHyI9pih4Xh2kn0oGLiv7RVdb
ULbuU2gRn8rMxK/xTjo8vBHQ5zhzIGteZyx+XvyoO3nX2oktaud47exmWZMtMYJTuzqCaDHrKi4n
xWwd+2k9YGpDPmGth0rbQEAI+hple19nJDAkNqRNc4lpOa31uUKYGpD9t0yUnZxAGusuqNvSIESn
zvSDv9JSTJZolq+N63GtpBPxESSV8SeBqtDXqVmb7ZNjEwsWsv11qidlLdx+1csQoHw+MAuRE71w
gmCwnfJWo0vp3uuGeOdtnVJh/Vcph/oVF8nuaWRT11CiuskLuvc00YK03Ua1gxHMnAwa4L43FPNl
Tjv5angOH2B7BZfpZ23HkayXzwaMBb2btMk98BFw6J0P4Jyiajt15VZ7GYKGhUAVSl6TirhQQ6n4
Sr2mA5b03CcqrxLk471xZQzGFNosQPOqq/VrhT+T4Vmma/tk2kM1Xxgur9mwaIjLW+PaONvnbNfL
23qZ6TUmS1gM5R36HlnfjBCEXlj46/658edUPUG5W+VuIsfmOqERPbsfTJeGrgoln0a0LieqJvjY
d9gZOSuMk4N/pAxodAmSgCVhStfNXaFg6m5GzmE+h3PeRtS1HMp2KMdTN5kMevdb4dOLRRrncvow
AybUD1Jle0HmN3OGW98Y/tLHiib9s5hDgr6GsDjUnrUrm2CtH100kX78X6adN5Tb6Fq1feoRAUTQ
Hr1gqpny3p0aqz2Grfb+QS15Vfr9SWkOJgisYeiGvOjIJvCI/tqwKKbMRqdDLlluO919A1PKop4y
+nOMbFCJnWMNJFj9qZnzr6bXLzaBvxyUfxvZqNvp09GV+Qvlxbz2Zlg8EUFvyFeqdyOiW56Gb8CR
B3APq3dyF911cTgSCcS+Bx3dbqHUgp6n7C7VVBeSlrzpQaciRbSZzXq3OJ33uZtCcmtR5bE17lbJ
ZL/0TtOwcaHz5/rG+DHoLCIkUCCesGrj2I78QtX/oK/8ze3HpSRcEClsiB0c49Hv13Q1bASmEypc
9sCCZ7tVxywvu412vPkB7Ph060DtTQqMQo9/f2X/emGBLcKJCSknXCkPv+k6O161Ebv0SloUKG2z
rPwjVeP8GxECbCAiOlDFP9zLHxy+Xx4gGBaALMDSsES1/gIlUsRtDmNNGUnVVXq3uiNpTcgZTnOx
erRRr/KKuuyCe8Mb5akJ8YZQv8fJCmxeGzujbyc0brmD9uTvL8VvGn1uQmhRTqbnR7cwBK7564Pd
dMouOyb0uErt+SGs6/kBQDjLRUUOSPEPd/w3P9uPg4G4oL5J2jxv029vUbSkuNm0BcI5qtlc5ZV0
BgR2SGP+sy9lQSwJ7KvzhycLYgdtzD+bJZZxJerHISAlMgE5s541iF5XbT4OCaUM5oa/P9zvDzKH
s3mOYHhA0AzwO/56OCJoRMN4RLjbj4lHzILew7JQBNqHyCbI19XLtQjFxEBleWWNtfn7E4BwwyH+
/HjR6wQ/EOALoaXq//z7P+mqxWQTLk1fKGZ93w0vOVExxrZw3d6nA2lk96w58NEbOpN0C3JdvqZr
hQTHyzosMkOgTIqDkIGimNzllbilvE2J20Jbte1JgcxiJySrLkl7x21JvU1Himw940fSkQvFHmO1
8dA4xYTAw8gRVqQM0YDbzRYJvsykkW+8oWfs/9mW8caeiZZGwnUN6jq0mGxq04qWgKuAhBuz/hxm
iyvODQtZ+45OhA+MFHXpAjqqN/uHapq5iZEGd/nE3oIJlc4N3cGumJl0+xEx+AZmAVdeD2lT72ZT
XKfeidi8uB2NFmMCsdnnLnCCSxYt/BR0vOfFanKCIXYZ8az9ZHrXmbjIWQ3YY83J4yITe9S73ErG
tewtkwQW7kRhhadaaQrBLqLrmwJK8nfAsUyVXGPBGiClzXAaelzeLw2yN1YmeZ4/r6pfL4Gx9Eym
tsspeFVKV8qm/l6RNSaZ0KtgZBHSh8a8HnJvWYZvHqK1Ff0jWsGPc+Gk/XFpif7b68EDicDrhOO9
RQtS71on5HMcQSVpa69ds8RInojkWiCx55sSX4DeUadBJjYXXMuUbs56SHVm9Me+npmgQbYJ+nk/
1iNeV0biNOOAmXfC6Sml6maezUNvTWZ9noOphtsqOsrXQ7TIbjv++ISBEG29Q7ajC4jxE/SGORMi
OtDb+3ERSCmKA9rgioeGqIOblTV+kUz1CD6NhDX5qleUKFtbzimV5inaCaT6L7ajeGoKmPSkW0wd
Zpi+qbepLFO6+ggn03K+1UVDb8FviuUOwA8byEoTLX76uUqbp2JEE1QAEDa6sd64VDa/W21pX6A+
WET8hJiZN2ndrNWJbVPzT9Peb9oH4DAMFSyhrnZlD88Bwow/D06RX5bYFgj0Elqwpoc/HVz4joxT
oZsS1GZ1OY73gVvw94PE74PvlWzKNBtwfOhoIIV+Pa49sT9Mw4l+NwnF6PsNSsublt3tP5CFroPr
L0NRhLiEyQ7XF0wUFBe/Hoe6qjv2Rati1zGC5zyy6m+F6ajukBeRR4RYE7BxrXADhud0tdpPPS/F
97//qn+5xJCxMEXgr3Fgi4NX+vUU1mixjab2ryr5cH4g850jktR4AVSHKMLxlq91tnAN/v6ov68q
+MZXAhh/QuEJcLn8elR6cDlcOipADYK2s2Oxv2HUura7q0a9jplACvj3R/x98sa6c2XNReaVEYU8
4TcZzcS7OwOLJac2F9H9vKST3GSz8y1aFEPJ3x/r98cHZgBzjAUClEwG6y9mvgbRCgr6oouziK1I
zK6+NC5tL9fm/e8P9P+6eZhurtQ69CdQcX+9jPmQNa5yicydCc1897xUYEnPK36ASF7GgQrnrz8F
HX9/XN58PvnPT64NCAs5FKgxh7UpQsFfj8yk1/gaig9rn766N02tT4trqjYul6qRW9tt/a8CXP13
T7TWV88gsyOxi1C/6Rwi+NYIl+6rjUXG3qJV8UiAFnTzUc5Wl6AenSfZBPUNdgKQOQKpxTMJ6sVb
TZwqSs/0GkxVUN1jqoVBLHEGymljZ+P4VonwKtkR0XwC0OO1G3uKljcYErpLjMLoihtGZ1pM6Izf
saAa3X617PmINqMJH2YLAzG9RJWJT20U1j32C9DCMJF8I6gdQkCv++uBhYGRSBppZN2NdZAee2pi
w7fI7hmGdBqu8jS1K8w+7TejcUBww6iduwWGXzUYoqVVfa0TREry8+ZHcclw2Ffcwvpdwwd3XPgE
3B6iuTP7Nv1AIIxFG3ederM+DX5ahFsdEjy1h3VOWplB1iCf2eStzcQZrQ8ZSVDISkIXscoKyzcm
h3q87UZVE9W2ugxk5KkY9xp9wMf5RyEozxRpNvRsvxZ9c62wici8117d80WQ6VBzJiFmExXhDIe1
cjvindH1WM34vSLyG7lqSUxxYi8h2m4Ne9u80d41d8wr3X4jlRzcQysbwOk+IuoXgdcz2C31gIVv
zZxPWorp2QtZWWxCFKXyZLQOSBeVuVmy5AU5I00U6r0qriNTjxrvQLs69BPRpkyBS+H2bkKu6Iiu
tVwRp8nJO/+cEzyqg1h4aVGWNz+LQoWLSexV5tP1VkUhawKZCdZjP3+fTlCYnU0BCe5G9MhFbwJK
lp9mj8g9bN2zPPTLGpHlXGnj1aA/8+gis6F65BJg8xlZTHluLIPwrFESuLPtWebuvSXydtMSTf2u
IjKmRniNQe+2aChA71Td626LCqSub8WklxHls+9aGw+BzzUA2ONh/il/WdXCKTdNn8m9X4dUrKuF
qZPyt8xNYmZdIhPzHze3UARuJxIIYXRul3ne/3jz/7/JS/8PKkdtZuV/LxyNv1VvatB/lo5e/8FP
5ahj/xGASDBRe9rgWBEB/o9y1Hb+AJngwO2DooHTzWEJ8T/sBJ+/si0voMzPKgy96f8qRz3rD9tn
uQER47pJuYpK/xN2AgD9X4dp9s6+ZXIU9lwMeFDJfh2mx5keBL0Cb0OCYeluhcLSbM1dgPx7DQ6Z
liHi6GDvsYbaMDqFR9oV9xhNhUPW8lqdO/C5+8ZtPncmqSlWdBXOtV6fsEQ8RgQoJ7a0FRsTn+Qw
bV6Qli2HOmyrj4FhBdtqclfcZgpfMzlgYUHMtjZVANaZzX2lB2NDO0TTo1I81Ov8lIYGEcWrSZaz
rzf8lp9EMAo2fVpg6Sa8d4fgG+sIw98a1wGb4zzw6gvDyHQYUTRKV1+ytKC2NhD2mmb6vqnWZ6+c
3A2mT/PGYnWPdgl2BIudfGsG/S7s6DH4vEUO8jZ9rseqS2QUZbuWOxRn7NnOBD18pWKOez1oHrOK
RIS6mm5ts9EPxcgU4mZZsCONGp9c1jhHB8bWrtFOeQCN2Z55RrKNMjGpXm18B8JoxMFuhZE0Zj6c
53JwKAYz8exCQjX3mPxtiqPOSncVJV4yqq54tkIi5kwyMh+rju6FMIh6LPOB2Q2JzXEkniHBoHhz
Dbb73g/hoY/E+qHJxpPrYzzJa4tKSmjdFN3qkSlo3zi+tZyKOi11/N8cnddypMgWRb+ICLx5LaC8
k2uZF0Lq1pAkJvHu6++q+zoT0ZKqIPOYvdfm3xdxOnl9POb+b1ObTH4rb6zDQbFiC0Q1vzW5/S+A
TX3qvU4Rldq6R7Ima6xcwbejrbcKagQz8ZyVaqXVj8SqhvTKVo81Ds7NxGqElY+y4t5o7/gDmbp6
6gu9NSAJUixRlBbBYWlUH4lOeiGxf8E+W4eDVSBPSMjk24wqm6I6z0k3V0UNGzk7scr9wsimxbWW
UZcTnGasD7cCAiEEMGBC2OTfIYi3X4aOziNLGxR9U5Oc0sZh6l4kYtqA2N3pvfstDTuy2bkuSK9S
fMZ20SAwVilOamvr1N15EkDSDPcslHNMq/IdxyURdp98F+1mhMUgW+ONsS7+XIfmuERltTRsVFJ7
P5JLdSsreAtGy9ga81YT63CeGYpmg7VRQ0sj7QduwOtpd3/6GTUS1i8FZzKbICDMWvs2Dj0QsyZM
eLXYvto4N+vk1LYoEj2sMs3akH0w4CpsJz5BaJV+Y/v4LjL/hnXRIpmNhbwGtAgK4dDFtj7UW5tc
UEZkzdKHytT6s6HP1rFzGnLlEVx7sSIZMkbiEpXksTrIeXMKDIlGquOd6CzMtQRyIjfsO0QYgXD/
Tfly/T8HVnY7hUglqgrNiNhvP7A+Uo+47Ny4YIfxhmRXbUp4dx89bfudKEBGsqazHKfH6jcZRRsi
YZ53+Tog2BgGpier0893Hu6z15nDC5ns5salC2axTJSlmXQUHZLlhRyO0DusyCDocIdEVCUhGhfC
RYcCuUxiqDBnVWMV08TEf6Ys0lMKvFH2R8v79tzGO42AXvceFmRqmXa+tC1CIMQdfrBlC1QhmELJ
HbhYYDITuVk/Sk4iYWIgn+Ykxqv35orlc+0oIi3T3wV5SeDi6MV59dBq+MEzI30ihhJPw6jpVBgE
S+ogmohdJef0jEtUgvxM4FxD0iCBMzWcq6JPfzZZeYVCOsld1eLqmRwOoOCRXLraFT7Uf/W48ECm
aEOy/AsHoHVZMaIsnB8X3ZucPWCcx88dnbPmJ5kVaiVPLpYiZ2MDgL+NpavOKDj6PXjmKkRQcpX9
qEUBGSZX4PPFm+GRpaUZPovMpGc0odXTsQ28Om5aq96xBzMQYTreTue+Ifktt3PGGv3gbYjHIVK7
sLFxWUEfjgszjE2lVM+KeSy2qAO+u5I+dyrjXBi3Mig/Gd0cxLq+5twTKbqUGdCurNwQgxryTXaM
7RLKwA0l6xSi2PxwdLvN4HY/tPSbJaEADLIzwRb8bPNazP49ZRzjEJaIe5+3Uj0l9AFRb2rtxjFk
ikiM3MhhfEgoh88y0279+D7Z4sUhYKiQy5ONaPkvShA8gT7anYQ/cA6Ke8rE1JhmsjOqcOJwCpfB
/qfL+iCNn1H6lwWB0cYRPbQKVsviidxk/YYczzrXxGqBKkbqHTKi7qNlLicGu6o44DwNXhFr/1Ps
nKNed96SGiGY0wQjvyzDnk01mTOrsGY8jcZIivyIFRAJ7n88Yf6eTRV6Mqeps6um6WVsMr2B7c3U
AqjrrL3bsn44LdrkZqDIYPHPb97Nzqa0GuO0VP3FFEzVwB9M6b5gFX4xEUKz+fWdcicWVMHe1PjP
tfLTb83NjT+un3FXNfgVd2jikDYnWLsvM1KRY1AlzWXF+vrRS2tP/I31Izz23SmWkZ+WDGeGjYIn
J5ioGayZ1XGHe2yvuQOnc05GMv5PVFlNVTSvIBqC6+Lp9a3rJKeFyKmwA9etdnldNjxzj//mmuCm
2qmEPuEe2iEo2ev4wr3nEj6A1i2H0nXQAfvjUbiO+alwPGDBmLM9w2ZezqIdntoW3s7DPJL32vp3
RUJfcDK1ZTiLoTyTcJV9TRz9j2nhC64XlLt+/0NeEa1ZJZAKFjmMYNyLh9Svmy2KujbWXLf8Gck8
ufBgfSkHVARfUdpQSDn6ockKxJyt4z+LcvCuBQkNpM2v7n7Us2vii88yMfvDXK+flVPuC9g7vBAD
1X67EMK05PrrJGf90OdBsR+WqtpWzqze6QmdsOBy5ksXzUWbRosRUrYmBywXPkwLPYi1miut9lpt
C7WmR7Qj0riuCFRNGfjv0BZXvFH1TQYM9Po81UOOCdaJdpDy7qE7lE7d7vtSAZlEjEI6Fc9QtUm9
5Rsaq/qsAiTodu2jtesRNER+t2DjFgHUFICjeyJm0YkhXc57T2zZhea7welETNm1HswCU/FgTOWf
0jBHIF3cXuNU+nE2tnCymrrcYf8k9/tIidde6MURi1JYRpPtXLT+IZbuxRvEsoiUqReYV1+NGF+K
HLu37m37frwXXRrPwk3uqZFkB75EZ4OgT0SGQQCO0JfXlWzr92F2QmCMyy4gjPOv36RuVDpDdewq
Md6JvLy5C1xmmTskW5ZZ/yPXZLqunaFNIZq+InZqGAuFSO99O+bvnmbjECgxgbvkhm1YM7Har3UW
uFmqXgs+xXOABj7KHL1h6o53YxjJCOZgNPPQCUbKS6FFRBbP//LE10+Nr22tleEITOiJdOzyb2rN
NMcjo/Gg3nr5dAWDEdFwblyMxOYDBODzkDp1/YxK6oAp+kOl6cEdLEE1YMcd4jsSQI+MaD7Aw75P
Tr1rHf06AWsKrTkF0TzCcUHzi2XfFijcg90i1LgvE/FHuk68rA0emGZ4wutO3YaC0MmCo7HoEIin
JMJHPu7WdUB978a5U2y7SYub6q8+MCcR+imvFkKlLdF+obz8GlRyYOHFN++rt9Ev/4PlsUW5LFDK
s5ud/CsK7Amrl3apxnln+f0RIBhRvCnRWuqFQQHXheGG9WpsVGI+Y0Uqf4F6uZGavfnYDINzrlG6
xmiW5anThLp208JciBQCmSU1u86CogkZJg2G6C6Eu6Hu0t0bUSI0/ty/c4ktxLZNvi3OOn6lrNir
1H6vMuymncEpxmCVuzRTx9xQu3Jt9A0BjndICJtsRvxaM9bQsXbkAts44VKQRXrf2o91Ztxx1YDR
9er8Pq/kxabTVZucs5UGxqcxjeqrd+xrOpOlLqfZ3CWP9N4WkMeuMKz0uYQM9o2nFn1TLoNY6sOv
JbQmrvBUo5JFPGS0g8nF4E23JQcuGUj0jsHqWLeytK+WPzzNBZNfVUvjmxzmGqVkIX6x20L2mHX5
U0HVgnPF+eXx6ozjO0Hr1VtgIIywQUNVYmdUIiyAXHEp/D9WGm9zXs8kwzf/XKCgsWW1/bVauUkt
nciJKh/LuHXcX2Eo6q1RBQArGJo0lndZVOHXG7tuHDSPiXXMKvWbDCwF12UxL4GVvnVme8oSVm0w
i38Q9vfHciis2AASucuM/IJGJf1mdlULNv2dJFTEbhMILoTqFItbfvvMLk/OiC5hxKmQW8SLU3pC
okS+fwNctp280kUgqPxyv7T2vnPUxfXW6WVZ2ifXr8kdrpon5YgXkYoPr+gvbtvPcNqzH4cN/SZN
caNrwV6T6sj1JjaaPmTQc0b74o/UCxxH2UkA1Nr4HbA1lOUuMt3inHRUbkFTrTt7NDj+pG+9J+2s
RyWj1e8KS8sn/kxEfznUAS2SY+DRwcN3a5ZQ1M6fsgTATBu0tydrX4AUqoaWIHTun13h8FJPgT0i
GlEne0rfxqbRjhgyniBc/Lh2UsV66ec7d6y/R2VsksH59Z38u5+mLqxny3vNclPfOg5ldFdzFCUM
SXFxcbFl5XzWXZCKTV7cNc7JJNFJSO6tvaF9jyUwK20E/2e7+8ysj3Op3Z3KLb4JInY3rSmLg29P
VLPsAvjknEfiMr6BbHKsV8fjATac1kcd1J/wDvBwYWYKEfTrIXucv0MGg9AjHtnUdXm1Vwi+AeO5
EH24f4KV9AL/JI0dJGEI6uovn2Xj3h99d58HwPPwp4NZkgZnK0NU4q7fHANd8GjXl2zxxoi/50j6
8p/BRi7bamO7Z7qh8jCjqTutqUtrRY1fReQuQ3jg9dzAyZPwHvWSYvmhHXOM4s3rjI7yy0SrjPbx
3S686qx5RL+3HeSc3iv7px48TB1hi0piexQwBbKCDrXArYGGyBT3rCbtnkh0FU2CkqN3qvGsuObZ
ZJQSiJuOqkzPlnPpuG+NV9V7yyzKH0wR7WuuuWbcrFn12xL+cxztpdp6xMtHi8lksrQeU14SeCIi
OBLOHIsQKrfKPxoYgZ+1VQ7fJnaTTZY5v9Ic9EPuFz3jIA9OoKwf0TGMTUTpa4Ss62qPSGnYefhY
N8jvMPE+yIJJgd8FRtX6k4ta20GUm0NE0RML9EKrn/lqcKEUuEBJK8UOu7gzdMah0TbImr0X3FsI
5F1bPE1SWc9I+hH2t9pMHMc400oNc8U3s7ShYzvD3RqbmvAszT+rClqIHvTeaWbjHpJCXIS5PwwM
j3EoIcmiAFGKBZSo07hi1LotPDc7oAjXX0ffyC5JYQI80rz8Is0sWkoDKlUiu6MkdButvVaOHxBv
xjOb2OVg60o/QHJ5yYoGvRZPSzr249ZP2VRQznO0oradTkNl3syWaOcH4NqOew9D8kaHwRfVzTr9
ICurd5Qw1aYydLH3ABI9D2L9sPTygh+nuepF7ceWynkyU2/eTao3/jVJC4DKkFz/JGIx+86rpKLH
n7viZS7mH9ZQwAzLJn0pOkwwCG0DIwJR9mlo7GI2WsIMAcCT9ujpmx061TIuKwUzdO0YwczYja+L
zTCc/D7EjT5eqMz7P+wqu6D+7pFkaxYbaiXNz2QgNip14fqitOBzs7NPu6z7TZboP4mzPHwAMB6p
N9m42GuGPrR4gYfxqU3tOUgwNE4O++ZmNDtINwtYK2uN9M6zKEVHFs+iSdfjwiB8P3pSf/dzzQo2
9mz4pKRo9nxopiINNpMP9yGRaYaLzUijeWFygeLB37tqKN4tSDvY8QBiGQC6Ti0P9ynpRXbLU3t+
xmZnvfuFfmOZB/4RnSgHc7POj3OaeJA+rbJYc+qkY5Vunid9HXkK1+XqeLlDT1eJJ6Wa8qjjMsZR
rFlbFp7ciU4gbV6I/pcpTRKtZKwfbU2Y+2TQ2khq08mVlrbTG9O4Efd89SlDoURt8YnNyDzn5BWd
43+KMi1KBuqEUE75wyQonF2LFOthtwVDn+P5yVkhHFoIG+wImE4jHMMcb2ppFc5dUsdLYNBIzh2T
UOhAeeVkU5j1/nRmS7xNWjcJmQyG0uJv1j3qbfY++E4JBSu1en4pjCQ9d3NibgctSQ+rCYa6pg/5
xJAUQ2FBvVyJ9lROC2WU7dxdHSyT8IrX2kHPy1aK8Uk9+QdyzSg8Z8+6JG5jnUyiZy6EdejHvl/m
CwSs5aYWCkmaUHNn1n0ZSdB2IAba/YCxaIG34m1Z8/AFl+M3C/Z/4Ag+C5FR4VZY5PTm0yhABoJ9
5W2aS33TCIO5RJd07k6OQxMWCNpQ7oqvmWRbM3nVjCxK1mM6qWgkIKLjLl6NJ3tWB2wd61ZBjN1U
TRDsoCni5zGapwAM3dL3t8atLizcblNAJbzoKY75npKIUUvQaLBo3HqI3XL4wyP9cH06T+WoPdyZ
+geN2TGYKMIB6HDcjDvlZ+o/ZhhRF2gvVekR3jQ36b+E1GpE0O4WU28A3Lw1N9Czq3dAksd+tJ91
p7ZYqOf/4dEPCLArqz+lqL0N6MMmcnFEYYQlnbmSyTaZ8ueKLBniopLp3UXYdu1NRA8kYHfeZizT
yDUEJCMvmmr7WfOxlJVHpcmTrvFBBkWAMl1tmY1gBQWsoA/solaBGc21Wtr6ery6veFGju6VR6t9
ANqcM74sVGZy0MJmWF6WFWImYV8fdusgstGr/4y226pCT3ZZ7RVnktQ3Qpv83cQ4eo80pzlhndfi
sRbHxVuGC0aNaQ+4hjOFNfgpD7xPoEnJP5Mp5wQb1GC2/Zq6BRvQrLCM01R2P7TmBsRb5gRd/jBb
YVHe4tgPFfXvw8Ca2fc2CfjfLSKoOrI0p4IAN4BDZXgr67+0wZraWF6f3fRs5chhLWd1lx711hbD
44I00Ms9BnH5YDSYR0dR/rh+lXehKqVCPaYGywwXK4XHKZfVewykSX4MszFbd4nlaHQF2PQTHIBF
/c/tA/uqZKrlx8SXZAMmfuZ/GqPVoUlnoPl3JujCjxqzzX56Wc1Hs0uncNQM4DLzYNLT51X/ZyE3
PrTX+QtPidjwrLzrHnJzFGRSHEk+f3YUoKp8EGeODGZtiE/POq3JC076FAGbpe9yLdd5V/vgmqZd
+TJVuTitZRZg4AkcQUReokdjgmLQ0my2N4TlGlgDF8zvBm2er6fipNe9xKcq3QOKEOS00k8xNNhP
w6qdHM/+QkxaMFFZj6seELcAjGfx/vU2rxLCNWZhy++QyfJ9YKSMQM/GXq5RjFsDq+S6b9lBL1Wz
Q8vC2ofEDXyEnGeBqLGU1anY6d30RQzcE941eVhr+LrpMqXPmNgihw0X6lKOIa1a87cEXxIu1t7b
JmzJTCowTtdJ7lani3OvOra5XRwJgXqvcKlvhkaOESD0JTagauPAYs9BZq/ayD7xI0c2z0bjMnMT
T8asB39Bpszf3aLJKzQS4tjRs+IeXKWK3YpXzsQN7W/GKhmeymG5l47k2LAexUruXpe+xb+OtHXk
0CsmajlzB6FBHLClvNHfvPGQmmGL3VRZ+qcwk9jz09fBXw9tFUBVmqz/GHo1fGWOoUc6qLuLqPIi
BtrBY5E47SssPu9g6fq/dFoYGY0+4+7JkntlZ/xVCZrB2QP1Mju/9spt3GiDhZ8C7YELlGmqdQbQ
yapTFCw80YPvrF9M3avYmCFgJVY+wKdOqk2H3ChyB8HKJjecPf7TSLndjNRidcMhU88tsrqkS9gV
BTTNHPcWGT/lGNezsONyBcOoTWsGnUH57r0v8SaXmCi27pimn0zBMbvNOI7s2XM/Ak25nDF68t+Q
o2/YdKX2obdLwn3Cdb5sDC+rnvNmKD5Yu1XRSkFLi1xdujn7b31wQwrtr1GTw4xHJfvUC/nFaH7Y
gSr85/N0c61jv9I2a+MeYICwPckr1ewTRR/dA+Xb0fq/IrlFJtlS+qjM/8f1h8e9TsLSWOPCT6qL
RGJ1YvoO41Lv2hfbzc3L4xvsvVSETmvB8W2KZ4B3CAab1d5M0On8CQUyqrRCYeLCSuoTgYR+vdrV
XddF3uhm8ZqOh86V+JPL/O9oe2/uXOH7eeg88LFbDuNskTPdI71325TtH5/tUJzzYVMyA/7Gmstu
ttHuGH5KkxfCLm/mXI602tkeJij0KhuF/9r601c36d6LYfX6nwcafZP2BDSZNAjPREEFFCO5/Rid
y9g2hTizahTPsDva0GBF9YTYfTjjQPMi7H37hrhkvGgpdKNMh5lZrXXx2lEoRiWq72guA+3g94F8
6aGgbXnuhn5jyQXPt2kv29Ir64hzz4r0yc1Pqdv0EYXtX25Lc9fIifu9ZZm58WvGH4FKdn2TvVho
Tk4W5iPNbfNzLUaorLWgni2gimGdw3AHutVtfpHDHYxi5a4vs/qtFSBi9c7C2kz94kDsqzWUSS2C
OfN7cFGUtbMflTI1rmaqq78V6Hi0w1ZB4nxRRJVHL9jXujrwMFZXULbOKVm48GsdLWCZPif84scU
B+WSP3ZYXVeYkc7umPaysk9B0WJAKmXIkOa9byreVt3j/rL6Cygg+9i4zbSvFS6mua9eaQu70J7M
V61HQVM76l4ZnYK1y3ogDTon9OimNoTzYikANWy3M1ccVjLW18TRSkpZrpiEHkmb/7qDmSHaq/rk
yVWY2Wqt0nctM1/Scv9B+C350yTItEH2Gymb4GIihluZo5v2wzc1X2wwshzW059+GH77qc9hNdKj
dwUtgVIffjrjG9GYxJqF1d0FKPe5FccgmeIe5ChucBEhIAaC2ZivjSjDivTQpnExshIlsj6R6u1e
ufRVvJqtFUodIATQ5OaBIckMztOkReLalykezCGJPJenLIfDQ9fAlFuzugNCNXqz4SkY3fyYdeqc
jc0V/3x2yTAssBUt82pTN0w9pqlkEezZb/gss31KhOstaSot8lrJ6FbLW6aileUf+5mZckB7NGcL
dKdml/KGHviEbv5kGyH0CSa7uhVmZokL/7H6s1nS7KcusaE3yeEfpkPa6Tntn/NgralZR7h7Us1M
TE2yGp1KIfibDDlvYDd9OQwET0Y3MrDu3W1X2VDp7RODbSsUGdWHr1r7xVdCsr1G0mT3yoWtWFUn
Xwzy2mRGT4XU5eGqQUAtl8rY6A2z395Y031dGvemCtrTsHBfCWcuoiArMDiqTvcjr7L7H8fIbaiw
7uf0OOryBGu36w0sLFz2jWVllgf7AdTDkJCeEq89GoQQ7ID+xVXuf3ZYR/mtBDerHOM+T4a4yThl
80WzLtNacP6DahDtv870+ESWsJ+bHZbMZ88dNoQkMGDDJwvDBVgCHwa9MGr4BKIMX1C2wqmVxcXx
IeLWxkdRM0/2mxeCvrGTLjyfGhhrh+lvjxrWnOQWDNMuacwd0I2NOxrXfvanrRpRRJvBhP0W1qTe
v0DxaTZLbR7yzmWgNmKhGKOSLCzJe1Q99PZmv8Ol+Xj9WQYXIq76fNnmJajZknusg3y6WQeFdMA8
1MCSMs348STsYt4U6bMcTCEJkHgGVZAMcozY1cpvLnrEi1NGW0leiW8daAcYL2j4+D3CNPmYXXjP
Mil2BoXmYVW2cTMhW/DMlCp7A8KUbwatz2LoYXrIoPQ+0izv8ryYr6JPYnOqh7102A4xVuIz1PW3
ddJ2Qs3VPdWyPjQGn+PK9sXNHBoV1UFnbdDePEyBg77H1yj3OWPFizGZX54H+FZTRn7g3bDzc5aW
zd1CzICLVD4ElAOVv+I2Q0b6M7uOtuNovK2gciKNpSj3tv3W+yxOkDMWH9wWiARgaAJiS4KdaPNP
wnxKXkpRxIVer5HX6b8+9KBb5mFUJu93oHnERmEbQ8rI2nPf13LgBS7Y6zFLbxZ956oasItHC259
WrQoSlW7wMTNSn8Bb/uoWeiFh4bsMQbPYc6xGDvK2CdeEyGv5uPws3/0LXHbqJ1nEU+QZt3RqD3k
ffm8Rmk2jCttpzQZVSbQDZiLwa4xDlaGFWOcIgl7crP6dRAVeMhtgEsK4y3Kht+lCbbCBvkzuoKj
NlvDVbcuD7eXn1AQdZ14QYXi4GE2gZdp2XgB17N1SPgKlPnsGZrx1NHV0d34z5i/PzQ7n9AZMpVN
ACWQljGwz6NkbbPgzjeh3WoahU+L2GLin5LW3w12heIGvpJ5nZj3PLYwLOWHyEPxVf9n0daxQiTv
Yg9wpAs1sMyHXOrh4AiI+nOQqccC+I1N+KlLWeKbBteatBaYm1jRzwSPv+A2KU8gDJrQcX16pQET
NNRwjSoG24NVnFI6fCUTIAHu3Z2zm5c1z6uW/am1cYfza+e37j2zveeH45ZID6Fhz+zAABrBS4q3
m5pkdGNDBiUbNrGeQCugc9L5vjazI/T/PMOX48YAYPBugCWOdUNY5GNg5HnDIznI3ShEKrcsoofg
WmLZpOSzrjqLPobUHix9SHcLuPN6YCBjcOtBu0lj4rtX7LQKONlGOJjTQLWA+90AsBE7f+SNjFaz
Wd3XoF0gEWEcP7Rjqr/N2SxlRJ/vEFMwSF5nB83zs4OOF9GYC/GmX9VT7pfpkUoS6VmAEZzGjnNp
BBb0K7wEuV7ik7K2RqDtyRD38gJQiF3G3mOwaaAxAApEQaTZI9R/rwg73bh5quUQrXlVK9I2VJC8
EMz+OGKB8He2mR6gyLYX8bACe1mwMEeS72jjRFS4/TvyMVoCAFwH1Zbp01JwNftsHaRXxYi7fvUO
dAjOK0DKcP6trmHIvxIN4QZjHUMqBHHc1TpEROd1UeKucwzN/fQkeeBCkbTHulBXfTZvXq7eHvPP
LTRJdXiEnYCCwcxPeAgEkqFnx6Wy4A3ha0vYgXZtc5NDwWXEMLDJY4HePiMzY525xjPjduCu6Rbg
383P0xBTDavhEdKQMsA1EFzHWNRDa1O85sCOduAiXpSWrGyJPfDpiJk3OFwZcdGyQ5gZGZiVDSik
uiMYURPBoGGQmUUk1PKDU0tGtYcIunGGNLQEkzXZN+fRo16tmjWPU5TxJAIs6pl60j15gz5w+1Qa
SGve7gIbD6/UmG5rG3qJqmQaDqQBVQvdG1CtXeaT6uklehPCUUbYZzKpr7WUHfhoB7xSE4onY9BD
zwKSVayWuV2A4VCXNKe6VtqOyMP+zCfibTKrKD/TQZiht9b+ucqo+Jp6+qhda9pLQIqhlnQq0tMJ
meDarju2df4165rfkWXCpqrTKR7njCiJsTM3DudzzP497oLkb1kN1HQijSpkW3ttDOAejI/K9WE8
YkCTnAN9+mLx2u3RdHJ9ehogCmsMQFtDj59Wl9n8OqV3svDQsgSGE+UD+5ZE2foVMV0butiDXjuq
liM/6y2z8KSvYtFu+eIDNmaKlNxXbN8EUXA+tGarb11vzF+p9HHcMTomodcK7q3I2qdGFfjyakoh
ug/7J2316eTo5noJ6jldQ3coshgNuXOwMa0zYhyKnTQGcobrUj5ZhWOeMEgD8ESlaW1m9C0uu3Pg
3r4LN5vJ1/JUdnn/byod4GSTTPxXZzTvlJGrH1X9CHB/zqBKExPGbuRjEe3cxznCtgLucaFHGkth
1hXsQCON3z4aWxBVC3yX/xTIyOarTvxFCwtEwf+ZY+NwqCHl2ohgQcNXOzZKXiFm49RZnaI+IkwJ
Gt2YbfvlofogeTz18QFZ6T031fpUmxVjGR/i2oM2kAbQnRoBCr0KwH5QbmQUMtla6v7jiEa72oJv
s2pvy/vcRkOw/q2dpd85gCU3bemh2bAzqjZbyG7vuLDIMD6YVbEVHv1KNqzB0+AaHSaGRD+Rt+k0
McL90Trk9mQEdJPoQTTme1GQzyfo+681MQc3MVEOLWN+nuygfjJGc4AlO3yrxr7ZeAo2WDxVWPpm
cyzzUiM/iDV1qcgHAb4KgsfmX3YZIvZqNS6EE2BzVqAqfONuyXnZj0rFVuXdKphLiTd+CGpa0Hqx
FcxbcHYnnW8nk803MebvsmWFLSC4Mgk4J25wmIci1k3metSGcS1nt98Yo5ZvB27HboPqKj026TCG
3gy5dGRCdFq7tIlkL+wdVZAfg8KzTql0+JkoeB87o/HL7BZQ7VgP8IZ4WwNeBppBSqCAHeBxnFPn
uREsQAHtJ8Z358kBXUOdjH9WqXmXqUrkd59L+iPg+S4YsgTbr6UPYU9xK5CMQFY0irr/oAB7snzo
KRQtqb/X0m7c5XQuoKoeoTQ0Db9umeUxA+5nZdnzwzN2E6b+C2SHTbR20OV41qXa8pBem3oMwcmg
4rPPmmpfksr5wdnEFV3Z9I0tcYNb4QMvmqVWv0HFdNEjF+sVLmQXmpjRkeqWcidLYgrGmUsbkb1r
RoNPiNB30XosBsDgtGG7VtZ3q7Xl59xT2Yk0g6fXmoCIRq04WFPlxKZZ4XerjNswwUjDNyKcszsx
esZz6qefYn08pYVy/+STs25yAtYOTEwwLmcW9TB3ojf1t1Lo5luZFxT2IkPsg0X4hLXNZrlgJFtL
08xPxqzPOrugo1fwetAgaP9IIdFQPmcqAO/KY5Kr5UGihOAwO1UQJqW1fojMZOzBzvjXYYx0sctF
vmbIZVlLaNqhMhs+j9r4Hh3zbx1Q/fpZJW9mUn0OxWBfaFeWd900kz0S6vZpQfyz61Cx/Lj0CIeh
bho8W7V9R11vnkxgyOeOD/fGqczuoi0KJth8k4DdpoMn8/ynbwMUwSgzgtnAvDsw5bOWdjhX5iqu
pbaUcVq2RGekMm5bI9gr0DrvcvZ+pBj70zgxb3YLVN0zH/hVYoqJwMU+lSS9TPu8KayvtOpIJ8qU
eOF9DdmSVnSWrg5qzj3n5fRf5UyHlcC706KTPM0LIMlxGeqWMGh7/p0qFGBZscCVN5ctxqAWEzVE
aCANMaEb6ikYaiT9uMy4sQw8ZiMEIBbWxjZRpLfRpi3uiwRGRifsgM4HeRyZXv6OVNP56m0APf/j
7kyW40bSbP0q12qPNgCOcVG9CMQcZHAIkiK5gXES5sEdM57+fsjM6iupqjO7rHd3IyulSgoQgcH9
/Od8Z12TzG1ar/t0ecCBlMeAzFaa2wuRH5EK9ke9S1yTBryBhash0vcq0hgkDJZ3dOLmq6GWrN0j
QJE31jr3wg7M3FDx1W+rlLNDhu017RkxDlrCbUNYf10X02OlUTXgIw8FtHMeTKh0Z/Qg6yTY+WAt
4N6f0vnFjTFkMjyGWOiZFOwZGa+ChhD4vhmc17jz/atiGXN4Y1mSsHSs1RwRGph7vtQyw3riuhHP
b7rUKkdMlLAWT0iniMBzqZtblD2sWN2Ec4QUdbKmg2teaC247guyhvu2spFfRjq4N7jFir3oe5uB
OnmlwZ3dF/YeTIyJbhuiO7XSxGdVh1a3d3Q7PBmZtHZuq2WHhI0s6ocRHqbCImZndP1W+unJJmZz
NilhQp+oaWkcXKoJPTeodWQdGxL4yklj7zacWwObiavtuCNmRlBz+GDmLDlKz2+PHgCdPcuFfD/P
HrlpkAg74GzxGx5AnJAmWq+Lqs66z5iuJH6pja1i3oKR8a2HWb0Tpo+bd0Bl5LmtR69oJiyMHKVf
Cob3AUAMmgccp7nPG/8I1LMKymS8Btv0AQeICpSsTK8YhvoBjFhYxrglaiLX7HeEq5y9l/TzpsYW
EVCZ+AGn7wno9/vYRRk2OdkdgPCM+1azus04Q3ipmunBMbzpaYy1GxzYCNKu/9glS7lSpb/0PlVU
IWuDINEX87D0D05Znsvcuvi+Qcbebco1b8Am6AkBoa3bj1Dso11ZhvoGIt893ck4LJqs2RWaFW6M
WE/3QnOqpYOoIP1G+uXRLOs73AZ2kKIg4ppdJrATaqyeTj44pOzMCGEzyNx6kL9dHGVp38MEqghy
T/OmAuMYmCYKlJ+iNK5az9OCeWqGta70QNPZvibKWfudcFeGobcHPJzJnrU2jx1noTYLKIH4fpHz
Kk3u5ZAA3nWyEq9hQo5E0+y9rVL7Km65Jr2IeAGO2xZ6g6tE+YF/xt0nmfUS0W0V9FV2rWuJfu46
zQhiaYWcF3PaFbx7tr5OxKKyWdFgC2Fb3nY8b7DgjkJm62gmVtWB2R0dQKpxatS3gynFTePhtBfR
xOhea8fuCdv4sFd9PV6x9FJM1LSPuY8XbQjMMRc1jVMU2RpTWqArLWutqBh3/iyGK2gA0/m38Nq/
ld/7/7QI2Sf9/N/n+G5BTnTRW/5jkM9Y/srvST6NUJ5n4tBy6Jq0PH2J3v1RAqEJUnnQSC0Sw8K0
eDb8V5TPMv8DWIkDcoiGBB1XManyBTREQ7LQ/0MnGm36NlYbk4i29+9E+X7O8fEJAHEAK5mmvzQ1
G/ov9cFDxSKIZmMXB33mnuN0Tu6AbcstwMGEnQ6g4FVtMRWVJb59pvHx5Ydz9a/4SssH/L+8Nwdg
GbxzqLRgZM9hGJy4H0kMA/GSMhZ4ajlS7VFrWm3VdqbFp5ZE0FQhcUhOzCattknOlMa4xCQ05W9m
HHYMoTRtPo22Uz8Vk/MSJnUDx2cUw4MZpXSKaXVu91uF3a7kXvo9sUpPyb9ukDb++dA9KjoMvlrD
pdHC+AXbI3Fqw3iopsBxyFrsJz0x0MWT2iIDNpnu8yQBg239UTP4mUIGs4dKjEZ2mkazCYM/P48/
s2c4jZAWhAnxwDCJflLu/vNp1DK/yaU5MtWwbVYHUdkZDm6kxQVTV5lFfL6MiGoZUeIPa9qI6uov
DsBYgvk/f5Ee+C0flpRv2jDNlz//gX5Dp0JTRLEYAqwsw7zxe6BJK2vqMn07Mm14TzHEb13DWhxG
WTHDhmz6Ptwr4l36bsS9Hh8ru+qnrYn+gZmOKQECyxAx7rSgdDS4L4dB/gW8wfgZN7CcN16x3JbC
4nbj7P1y+QEpyhwD2hzqScxLIGYMFhH/8VmjAj1mtCsrHzuDHlq9dltYk28twS92qvDoK4cQPQ6l
JZGda85GGDlJJi2VSfv059/uvzpM7hTH5NvlGGFq/HxyPZasCYuyLuBOwrBVNl53AYqQbetOh7ip
m7KFh2h2lblPZ82Mz/U8Qj6ie5JIp6nDfaYVSxmgrkvpYWxpxGCe/vwYxT/dDo4LJs21PUv3PM7l
L5FgLnPSbZVZBX5lR+oml4LVTxq3AI26aYDDYdc4NYvet5KNi8VOBo6X91t0O2YuZVf33SqiCek4
s8x+b0hVEvUYs+Ek7fw9JYpRrZwxU/ekhCF4O7AXNPQtTSOCqw2sMCZ2EtamowKwv1GDDbdWgXUL
HylvGB7d0M5t8KogmPAIFF70V9fRAoz56eoHkuFCHUFV43BBy/z8BblzbpZTh+AJsaCmecIzow6b
mI4kD54HiFcVSsZDwKXTzTCZ+rfY68WVahWFqj1mWDKFjLb/iknFoOeX43J5sgqou8Kinp1N7i9f
ivTbofPod2X6WuXuwagGeRjwwKVrf6hk+Z6aBZUKdJWV3Skv2gONEFW6SQcWT1Pr3fqlTsmm0Y9s
1+qclp1e2zapUk+IiMPDJPxnv7TFIQ+TIVnZRWfEQVswrWgACAKVL4dVsmCBXbO8SQwLSGsCQvWo
vKLdCV2lG6bc+kPVl58sEqlkcfPHPJrxpKgFmKlPlAZobKRQSociCOWwmXQ3qAyrvdSuGLYqn773
zKRXOBZfRwwY2Rq0WH0aNMVMt6gtfW+CWmLHpYqT8hRHouk6qN52huzpR/FnpjRqAnrJ8XKpuhAw
9JGYpUbdyrU/AZGl1C4KTLfrjii/93iI7F0ERm8Ph7m+sMu6NDPOr4grgiBVOl9bY76wAGlp2RaR
hKA/Ot6bJnODBa2Ir8MiMdYmDfCvPEqPjVDWGq6Fv58qVEi7NMvjKBFu+silIHBsDRfHgh1hWKXJ
wv4mHQwwmatdZibgK8Kp5SE3pmhHm1KxLRJXrQnWdYGLnf6+rsxHP5TZjcmsCPu8MlaThoUfaMhO
S8or/JzusypG7VX1FtOQQieuwTK7nfWjPTiDfWTh232NnZSfBS32WDo3nsDR3OQjBnyPChaJUfdC
+elrYqJV6V35JUBFE5+V6DnrMYMhiF/Rme+AF6bvujIoChjntrcDjNnp9wYG26cERnHrW53zTY2h
91Wjr7SB7gw9PXixdrZSh8rJ5pp1h4nt+0BAotzHVTWsbL086XZDoM8wSwQuvocNuRmxnnVXAL4c
Y3dVOFFyNwB5P0SzCg+iIsO2Y7Ogzj1RSlw6jmLH6vfkEYbqIBrPYSyI28VkFvUkSPtGhElOaYRJ
wMdHSQkGrm/k5NyiiiAuGelHbPxw4/HUt/vqsZb9R0/jFL11dqnePDTKd3MQJhcowIItscbygtkt
JSWaI9oOrGwYh1dV/EZ3zrTr4qXOlcklTuC6/aa5pEV4mSeYlUDDL6FBjXRu76TDLfxPndkgVEHw
w/kS6s0wsXMnZWWzzUbHVfCCRwJvaJMMZpPnCEbqxYNrvNGQKN55sGb7gZjRa8z29JZB4RCw68c7
NWE846TT5Vrgvsp4wD7IlGT0OLlOtok9Am06hmBKd8zMfLSTfgBPHfEsZ3wGfIb+mUMhu+xqyuR8
HSliBp0NNJio8XVO/RUOcMvfLzWpJyp9mUmPurWTQ/dewy95NEyuWAKk5nhEQFIkZxqsAgXOONyk
t8XQv7Sd1YOS89TBR3vCYsIqGUuGMbxUM5Blvw9D0A6ZcYeQGN8jKWoHsx9KFKSp3KEQ+ygXsXoY
pa0368LFUsCi5pbfJU8peaN95vZY5+DruIcoEdFD7rrje6856XNLabMZlE2R4s2oq/PUk7w3spZf
xlgh7oWT+gRhRhAZy335wiy+308Aviji7qc9ERtsby18OWslSpU/ZvOImJ8WNyPE1Xd/JjRObv69
sOwvX8oB/Udo8UkoPb8UqDtnslX9dyqoiFnOIgUqbkV0s6davG88RAjGC4tLiKqYYR2C0Kbvqise
QcdSWph0zxb0yvvCKOhUybGOUKiOM25eTgIV5PFHgcfl4MKjDjKd7QqOC6PYjISegohcy/L2sKZd
ZBDnNCyfyI2pJeNq7oEJbBrZlk9m5ombjBHoynYJ6oiqcfbEC7KjGdK43Yb9XQm36mg39bhr6szd
MovPzmp09E0NfTToStU80VARXuWDMg/AclEhwr69lXmT3RDJWUp6R7oRe0KnGXS6lerHibFUnu+i
xsgDVmDDtwRb6jlTBTKRE1XKJhbSOLA9skTeeAShV4kaWsQlO4q+GNK2DLJ0nvtZkZydho3EgDGW
uapJqQFm9XHOgS85/XXhlSUIakfdYh4Bh9N7HqIMEnUkpyfirSVcHeaDVTM6zwsMbWvhvYpg0uPh
70Kay5mCYr7HbILI4vX9XYQt+hokdnyPiUEd0AeZyRjoZ3Ad/T45oNbrT5KN2RUyBFV4OOWZVcYM
OfloYlYJ/illJ+7ewJX1odz+K2EkfwgR9I+s+MllOz2/uCFPtBUsLeYZS/KvIWOxInVAj2rTqu2o
PAYcI0Uaq5KMudYIHyt1gZqxyBE3dMcyyavhTtfdY1OU9IogIzIRsc1tO9bdAegjDgy/2Daei4BG
JN34smsUO3cyy9uQvswdi9DxZezq+VyHRndObGjVOQaGg1NTkMfwL9ODMq/prUrm6aZVk9z3LV1E
pbOIfIkjTknRR4/Yib71s+9jlogggSyzzCukPoCpcU4lHOXulFqz65q5TnYqHcqjVQoipCOjkCDM
K8Wyw/yqHWu40MqWb63l2eItPjdPjkzHDOFEAdwAZzeMJjU9nlVduLPz0yxV2wRKMcMFisCMOcSb
KLXZ2kyVrT219qSfkypzX0CmQ72RIQ2xIgxx14UjIdo+YyMkjd570MNKPclIF8/aQFYI70E6fBls
TG+dEuEQI0qHCsRIIQq4m9+YJ1wo9SITx0todFv/AlFRvXZ9Hl16LG/fB7BsXxGjhbskCbOt02qo
fU0IgjxscMBmtdebgUEj2AEPCTUOdfyJ+Sg+ADtRHCFRLiCQ9ZpixOwa5Be0fzynExZh3lVZUif7
FPoQpVncImLS5aVinMTOwmJ1MVqe2C2tz4HoRyoioHZEd9RQwF4o7Cz5NNAuTqbZwNbFVm9/1Bja
L6HoW7JIQzg9DX1N12vNAp8ewgKibu1P9vOMqQFTWJFdemHLb7JKJtoICu8zNqEkrWG+8gSwYvAY
I6zpW7uqG7baRS2Ok8i9G40cibdqS2ZVATcW7jGKE5NtN07xVcHE877DaU4kSZ8+u8rG1ziC1jRR
A6X7YoJPdVe6UfEryz/v0TJCl1i38NMQfw0fKRD92i09MuN4jPGiek92RSzeyDufNybQUu52ZoOW
z0ObRN6wZTvuMzxmhB+tcD1K/65P6mnCQkJuPd7LqOd1jgOsdvZkL6Zbro4Mx0oyRcM2lQ7cloGB
nr0lX80DJzK9at81rf9oQAz4NAk+7Xs2e98joPW8X4eivR4plrwtZkxcHpl6ahDSecLlo/tdGMSu
QwirK0s8Fl0FVsTwP0u9ZY6fCtx8TMVJs5hhfFW7hr7Xk9SPgnRMLOrWdIsqYb3BDc0VYjm7UEsI
5DE8jq9QvSlfV2lnBVnL+mbNm6d6IQPmjhvDLcNHR3kNXWJUBNa0POXVgMfUIJfmag5GAxw7+Wc7
CO8xX6wN46D4h0l6Oj3/ZqW9hby2aKSjdCnDrOZGD9lohW+0Sy9OKVKUOJbysQpyT3o0xmVDueua
3H0pM0UoYtRE2+4Mf/LVGtMLDjY9iV3Suq1aF/kDK0Ln1Um0vuZVDqQgYCyTnbWOtCyLZBs/YTma
MXnQQWGaYLHNmgSINlw+jcrpNbQKro8aSMVVDsmW9nQ7zoPldZ0H05AMwzELS+/RIBRj7+bMt42T
1nU1TfVd5qevJdmSK27lUjvquta1O5YH3bxLJ7uiEY2PYVQaK5WfcFW3aSCHgSwgxXc6XurMw8E4
mh4AUcxy5F/BA4sljmRXAdwvDZNvudgPBeuW5CT0wn2yXfQNDLt8oxuv7uxh60qPxXE5FDBxQgZq
rMr13L2zaiM5T8OQbzAW8W3luZ6SmMgQuW1TltdaN3ovmAW0kYgYpNTSKZ37ah6PkRM7txiDzCMG
aI3qYaNoYBjPnLAUx6eGh5+gcwXpfNdH2XixQ8WroXAMOtCV5X+ruxRaUeXIYlONEx7QLhJvIw/v
M1im/ruPFmlxG2nV3oytlkderMhPpQTSsa4rDIU7esGhGVG9vpjmvW6ytxy6cLaj1dOKqTUa7lnG
sFQ//oXm8XOZLYqRLVw2FRRjeTbapbXIqz+KXnQiNX0IB4tUpc+oASeQn0T41ojI1zu/SEl1QYEm
xVx2qfPWp7OgqGvIF+B6z+wnINcdtTcV2RJrg4+CaRnMUrvdDHQV8UJL2u6lM8eccupsKE76FNUu
V0c/EH7l8rdWjmYSx+51mR+HnNaoHY8Wsvceba3RSo9nxkuybSUYITvJ7CApoPD+BXL1n8Qp10Hu
gUjocN3ZUOZ+IaBiE4csxR56NZMp+oDAVQAowMnzNQ1uRONHR+ubqI27KO5Y8PNCz1YZqbE2aJlA
XzNNTEkuJ8AfRGKNv48l/uciLQcHn85ATceyBfjul4PTpTe0tWTV1xT0f0ehwcZP6bNP8qaQRX81
RB6QZws69aadU8CKbi6p1dIsyd7sz6+WRYP9USNyPQbjUJ0Aqhqo3suM4MeLJapNM077vmCTRV8T
4MxT4XfjJnJEuzAV7L+4OH8G0y5qJiEHjx/ZBLNvCP2Xn9wq/YYyQ52mycl6a7WxfmodWkaq1vHf
/vwH+5ef5MMCdIylrthdxLEf7oIiIsBXAfNFN8HAk9A5dZQFYPLW7/+gyv9bY6aH/0UL+fJBP9ab
//HB67f27T9/KyNH+19+g1eaKqC77ktN919Nl7f/wCX+O3/4f75++1cepvrr73/7qLqSFez9V0Ry
5sdhESOgH0738u//8feWhvS//+3ypd4TvpDf/63D59//9ttf+H26BA2SLoPlogI7wjdg/Ndwie5x
phO+55OOZ7ji8Z38o2CciZS/MKEJvDkI9i5f5x+zJcZOpgBK4xt8BlomY4R//Ny3v1/JvzfC/zcD
Esf7WV53TcNlLLFUPKBigUg2frkGE4R7GhkV8oBK+2MSZ+Qsc3B3mhtVb6Iyum+mGjDDLQgWVMlX
4QPEj81W3bCaDa9QFa13Gl4Il6eJd8jjKf4Wp/O8tTs2R22a4g6LuSCfjbRqdnWO84rQn1/eAs3N
r4aqSb4PkaXfaXlig5VstbNNOeq9xvT7bKQpYeZk6G4RV1hAYfF/amYtCsohRqMlV7M2R1fb4O2g
Mdg3tUdsldaaZtro0NIxwD4kUTzz9FHeUcBmXSw4TzuhZRg0XKJZbpwMByHQqxhutHfDNDCpah0b
03JsXs0xOa2qmYut7cTZVdUAfrT128g0NtHo3pODTgJkjUuoCy9gAgVFkpEvp0GEb75HtateGZsx
7MiA45QN5tr8pMWUY4cKkrBKp4sROIQrAeu2W1Lo+Uo48dEU+Y0TPQ54QTU7V/s4sodbAjqoh/5A
rh3r5fCtVP10VZZexNF37ZdHUHcHUarYGzMNs3lRmyizw/RupLEOOqGQB22yHqq5HF4yeB0BgEJt
NxCLH2JxTmlLgIWsyrsQS9z1XHn148AKfkOwwtm7ldY/sMTGzoLVsUPnyodjLAcnaLOme2pZQCXB
EAPciCzp3/hd/NGxSqBzCNafZ7gAFwuwc55IV6Xbhh84VONdIUV7J0RNvTGLpF0ddv26rq0bOqKs
NYaPW7dpn7VeQ7iSIkCMtwN9tA5LUHK05Hqw4+4su/EpqoGPTqMeRFn3jrv13s5EskE4u2apUx+9
CeNsS25kK3CYbSp7PkGLOEmNFtsCUlat3mOTAGmE3WJTFv0jzlm2ZsTh4isovuxjW8I+ZBDA5qzx
BFRrN/MOnnS7JwiF2cmIveEUepwdxiJY/Kkv59FaCNp562IdpaT6kxIrxKcpvQLm/wyD0IzGgyuP
oWVx1BgwN5KCsJ1yhrXXYseHwxYeqy7egNnJromfdkHie7B1Gm/n0US4qiPN+yBaC4wMvwIoYyTx
Nd7v7nbCl4dJc0fomN2tO+0SCj1W9kSdXWrDdlPaRkeZy1GABHBDoyRRSHxj3FM0Jo9m739h3zpo
o4c8nbYnwyZUNIoJ6bx1x2vqVWtWKNGWHgU0niE9YbKEP9PZ3HDUOGwGKzsJEEbHPsfSN2owYpTR
BBTmiENSC3Fuqvrc9J51N2o5qy9XfjQwLl103RuWVXelqdPtCjACDBDE2MawZizr2ttYE85rnCS9
p2qFvMIk9DXJxMC0xoSSJIcMv+tMmE+XuD03gnqbW8s5YeSzdhnDiBWmObY/lE22LT9RncYvQFH0
XZ8bw1PHVIa4suwunWlfUyHBuYK2Rbn50W2ISpTie1okB2WhjaLsW09ZOVMum9+0jS/XgKtpgl30
VjEMH+XEHCaSuniyx0KuO+UlJ19CyEkQelpLe/ZplN2WKoNmoeKHcFZrh7LzXTkVezYAWUOgMHGv
EuxgT9YklkYf9ZHH6R27ne42aSBf+NY1joVDMrVPlUtBdRKlXJNtfaFJ+rOcYFlCB7H7vD5TGhFj
u8PFXFThPs4TlL26hfzXOeqgESd4khrkadND9IpdrcT7LMk9j3n2geVaLTEdGrfGfP7OVi/D90WD
NqPq6JQlbrPrMmKO7MTJ0aYEcYhUWdqxrQ3YXuk4rlI0n02JbzywyKXsFKDLFZtyezvGPk9DP4wR
e2N3V0xUZGQAdEAOifcZMtAqJ40bLMaCXWSZ3mkSaj75VMbdT6xpXpPKsrO1G7fGuXcKddOEyZFa
yLvQpICCOBOl35E1X4Pjw5/r0URcGk786WgZUmfvp8+RnUxnVzXqC0Kn/YULgY0gjmOi4YDEvWF8
t1O6MaYaeJPCosYPAlacwc4aGvDB41WES8o2DorSkAvEw8+W+c/aqiRO9dYon6p27u9rQLpPzUSB
t+nMh5i2Q5IiZnmnVT0drlPqwzVJZ+cZRi4ytl9s2np8ndzyMQTvtB4YDgu0+PDcy+xjwIAFk53h
jtRAcegxlcnc29J8I6ja4MEHAf+UeDHVM6UB5hhJJBLbEVMqelEp5T15MRxMzZBr3g5vsXWgJUV7
Eey5rlh+ZN46A7f/YOmaZzMHrLsXF9/qfkEi3LYAeA++n1VXZlVp68ZKmbWTssFrJqJeXYl0QQ4Y
oTIfayyatz277R4RtuvfO/03+kqJeQCXX/2EvcV+sAxqEIKsjmntbvKSkRqIe+1Ndkl3j2KmLhpR
63sTU+yFpYhHDA/0Z+4wkcS1QDDfECSDdB5alW+PN4y552t2NN0xptFvZ4cE+InVPFUy4RIj6HbC
qg80bFbjG+cj5gXsSPY7c03abopRZvg/TWuaZ8SjO40RSktk8oRkOMw0VYnbrNxVrKWJupT9vdkR
v/NwrgkfSmQU+pcUA3KT6mepwnstc3kTA53tWqKDnZ8/OkwiviNlOxSJafummQBvfXqkPTXch63V
r7Nkfsdf2Yfw/mI6SkFf+iGhtbwKr7yMnXKfDgfL6N/wDI/FquBBgS9bq9+X5eJJVJ1/S+9fK2l/
CDGjohoR6areZE8n9xRh9+byvbZlt/Nd7tEh4f3lt/1OoyQI8QzPM8sIca1DvbvTszHalqg+9FHN
G0N3m7s+NZxHeOGs3SJilpcUY8vGSy3/Nsas+5YoDPBJt9iVc/rMabl0VgWa2yG2aXiEQT9vo7ZW
29YfnC/Hbeh/dmdEpI4iY5/hJgky69OewEew9mp4g0La7OjOvWugkYKkyC+YO91tEkoYT5Tg0qkA
TipeopH6kw+sda0auzyD2bT2Eb4D8Djh+MKEe69PcmdyX9paeUVZ/M6kBgAuKAPu2bT0p4TvmOKF
ifwpL6HyCycxq5R5UPxxHdHWnAxkBfI0+pRN9uZqniI4aWzSesTVJ7Ly3q5x/TLDjG/ZzZkvUvX9
qdSYK0ZOLm6Grm32iIXlunFGgxHqyOAsb9OPnu4WvP0m/JtMiMchQmpjxCS976LIGZeYtnSIKbKc
rapoDb4JARA0uNPfTNFRz8B9l8XOpq6Wt54Dd5GQP1Ol/JYJSowZw1T7EX8yTU9pdKOjLhYbAhn1
xjXBrBsRSVqbNyzG8QTmxuR+s0Xsn4eZcDai1MRAs6cgipYDLJFV0eBxpHzAZ6xAZliDOwFkmp5R
OyaRmb4CH90Lrd24RnjxaWCiBZTw5+hwV8A9YJoJ2W7lCC88pHlvfM8swj41qWQaStsj9RrilNcR
3E6VTPssnoqDUsugonPNb9IzCmJstEExuSTVEdiJk0HykY238uYk2VDAlVOkaOF17nM7vIrggEJb
pIHN35hJaBwV+nyzsWYLb4QLSpO71MJtH5lTBO1ouc6Taqpf1YhNu7bbHca26pnWXJTreUogiHPh
R2tdb5MVqyicEpxlzABNGZ4KbjSc0JmydHYe8RLyL5thYw6DD4+CmkeifBppW0bCEfnCqfRW9PiI
PQbPdgB4Py4ow7n7NiiQi9ITCWAWB5rryk06/aGMMtPkg5ZZ7ZyCrFnngx5y4nTvyWgbprpxJWlv
Eu4DRvulcMuPsvsxFcUOrrO7ZQpOKmuyMDZMjkZIzyyQnGpPMJ5IZE0wLpsecuy/uHKYZ/L8j7Zp
xEKOKRMozLxIbkJN0s8Y2erNTEduaHpRq+/wc+e3DLPQqo2cYYtO/tA3lUJL9xUQzpKFhtWymjNT
wwShRDKSYac9T86CoIuYdaribKlOHdMSnAMedpIYNps6XiAW0DkOAFiX9crZ6TD6Zs46ZsQTVI02
bOvatSEhdtDndHudexjFA79LsPca/XzoipBHHpHI8mbC/rwH1AsPosaLTXs0SxWh9UeDl/NRMlTZ
5VAF1p6qNHwnHu3HWJ22XePpJyZUGuWmShzKNJaEni1tAwOjpOXF7YrnZqrtQ1oTb8QpB1nGMQgD
uMW05z/xQtUVm5Yd3R/GN+wQc7Zmw3qvS5/EH529JulAvx/A9MEc2GigPAISajObL8m2KB51Hj0t
QWUSJ8Tzq0HDIaBpJ+T+urnMsbgfFB3eDaJT6xgM66zXzv8kh3OglXzXd4CSkyJhjbvgDfThvmLH
t+rFgAk9xjs9hlZy4PrIAqT09pkDfQn7EtN2W33ThgT6KG3Zb3gSvoY0PvUlToIZniyBwy2ZtetR
jiBuFyABBPHvwuaO0HSyahZS5x4oNY3MIHlGypyuRqt78hvN3GQELVZ0Zl2r3KVBsM3zMwyTkidQ
7uHBGIGesS+2r/XYcVc1vysze3xsJ9iRMI6iVaVrXMSwSlkdkporS4LjrHqpNxNXVlfuktIoT9LM
AwHkZZxL+6LmgtLHsJp30rBf+jD2nnkQYptIslfLKUUUVFrt8UMnhvak02S5qc2KgELjVevQbOx9
G2YPQ88OkUcb/Ump37JXYEO/Mlkh3VdhqI3UC0DMQl93mWP7eppuaJ3FjKtXIeh+h0BSIuVmJo+Z
pPPH5EWLC71FKi3TDjRnHd5K12a/I90nkZR+tXLtMD1YwLDeCQrppLBbsnncOhtRj8xcUqJaJulV
1+39e5NaUpCToXfNIHblde11ggf/xka1OQmZOFtYPg6zRWtj2wrfCxr3muYk8OLNdB1OBJp8mwWm
bM++9D/SjmEzE68eYnVDE4fJUFea68yR/nry5CPRpIsimkXainwC2OuXtnWGPZtKrlebrwP4GaDM
3un30iIjWGLKNIfoHCKmHgFTzDfGmL9iVsbsg3UEKB4bUDYvpFfR9XuZnEGvR4el+sGt+TdML9nZ
rNBRW1UdIK6YmzQqdokDCBFOYICnhqrilk8H/vGWtGSU9cl8TW3pwcoibz0LOAQ98zMfXWnDtydY
EedgXvqi3XgeQ6Eqn++MrrxIQx5kzSNJWwJIAuhOIC24tUZkXfG+pW2CyLP5rplDv7N0e9o2I2Qt
TFJw/pvwmPfuq9v0p5blujSMfDcoXsZVZlx4VzQ35K7qY+FC39YprIsYtZ3C0MSuEZZ7DI4MPK1w
2yu8EqW/gea0KuimosqYhoNwAH6Krzqo4XAc4PY7gWztfkd5hX2nHCvZ5WE4bf2hntYQ9r6Bsupu
moVwB0Pn2bd4qpRVugOXMWOTCK8z1uP7mvrEYJrxBImieaTfditUegXg+7P2PHejV6ABI36u3TQm
87Fs5LMwSkUm1X2gK7igY7FiHTv47Y6Otv6coxcEs63tydtCSakZ4K1cEDOhpaIgtyKHHBOxRpxp
06YrzDu6tF2epbAs2L69o4JDkh8WwgVcl5XZzGt8FzTrIcFYLKM3RcbEJIpi3IW9DshEEnWMR6az
mOAqjHb6wXD4H1WsJyeziG4y7HwCHjmD2wLxL0mAi1uOfl3nBeQikT6OIQn9JtL3nuos7jwkHjD6
bOkxga/nviCao2c0/TIytt8ikfhBFpeX2hzfWoFVsSiYGWclzIkogm+S1ICbjRQVQ7XqIB2yT3VJ
BKsxqGdw5BH7M9tNB0wDkdl9lKPo6Rms0LRm9TqNEo93NcHH1F8MXjw3VuFd6yys/Z62staQ2Hmy
E6D7b50y0r0GvxXnjUquDA9HH7mfgSfK2Qwx5y/XSbkXI1d5XEC/wP15x8JD3zidjzGAjtjCcMc1
d/pxnASPkYoNZscNCpyj+x6zKPvypvhDJFBf+mwqCLx5asUjaubR6003Uoq9xNLATshPdqQ+tXXs
t/d2/3+5O3PmyJH1iv4X2cILZGI3ZKgKtW9kcaeDYJNN7Gti//U6eDIkGTLkypqIme7pZhWQy/3u
PZdo9dwpHBNWe89b6LZx9k6rSA38MYcdG7l4fcQZPOAj88ZdQ2Dol0LXlRkHcPrnj2bgOBFjCHLn
3DTWM4IFHb0xJkfbfG8tGX56Xh+SOA9oRcjOhOq+HTZFmOB8bg5HsneR88H3oBbsjC57gT+nHJOT
bAFBVUtHZmoxkB0NNIN4XUWQaUKnKJ7NNI92NM2cVKhcNo5p2M6T8VWn9jEPaD4JPp2e58oY478Z
YJS1tjyBZo9Y2VYb0VSLhdEq2pPV2fCVXSM9wQx/HHu+Lo8cKzYOjk55vgvaGS6AU7HVpglghrnY
SApP7fw5Jv9L4bxkGeLel2VJRTQCYiB0d7LYdIYYv5YtxDma4JrWkWVstchuzl1XamdXfep1D7Kj
BdOaGL7V1D9OXfRbEAMZtDStorA0yf1oqDz8QEPxh3024UQPLgTK9j4t8PXMDiHfdiz8pv7bmEvo
cLwiQsP8y747Nb7LBJMj0ybiw3lk7JMmTGgji+azqKX1TA4/vGrYE3ugd1qXfJWyN/Zef+nyudvX
VfhNH8O8IU85noeJECd179kW/Ztji6LMpj+LWD8NHZvJqCZ4Vg3hycq+5rl9iTogJVEK+rCtIvyA
ct4yudQ/YmYNLkDOTQdfdW/ALxy1vyCrFM9/PT6Y0tkMotnJ9HeasTh/9KX0F8PDnGZE24z072QV
W9DcHCAptHuwZ5X5BBwUZlVAcmUWvUFE0Qh4A/px5zMF3uJZB124ItqY/USdhJ1UGPrRkQ1xrBg/
foIvDwJ8kyHha8WR42hwHnizYo24ZRJcMfYMu17WuCedEM6vGl+GgBO6FZ2iMGTt70ANuiRiVowM
3vHI7rsZVGpJW9HJTKES8fGPW62zAMGa/EXLqHhuvJGVqrK79057X0oA5AQkDjTxSjfyfm3nQeJP
pmieTCD8/uDKYyjmQ8qbuONI8m0DkwxS+uwaue66/qcIyquJf2TL9ejHYw4jy7qn4FQ/0Si7y2A3
u9WcbHJZIXDYGy2TODpgL5qMp4/2bLnrAI7mdnb0XTcG4hSNVrcpRWW+TRyU6NbADGwO4IpUpIAA
zzq+0qB0ydmrast1KuOgXalH2SfaIWZisKSrAdiShWfrds2/CgDkhLoixvHbcPjrOJU5fqS87FxA
kvU8PE2htbdjHsISg+aui9ODSBgHs+NaOKNj56NKl2IZfmdndyBco+kyMynaVr2gjwY/TOwQwEdR
QRaXnH953ruHzjG2k5c8NV0y+00R5p/YGE9JoKF9Dfeuhc1tBAO7cqNeCk5N8cS5uWnqfp1bDvU0
PWMLOsiR+2Pne8xMe21zlJh0pe0Sp7ZOjc1OhQjWnEC1UrXVYSlYYsO1w4vg1eYJalFssOvF0AZ0
Z7Z1dsaiNNeNVQyg0mYJVbTrnZKuJ1JVl3FumlOqkxg15oFFpUedgzavLgikkB8KiKxBzcIrOPlt
KKRQFNrolC+RioS0zDZpcOPaT3iMfQ5rz06nGftWy+u9Bvo2XFWCcw9T8cGnRrhdLTWCF1X3S/N1
4vFeF3homGoEeH5E4rxggQTtRcB4XXKcOgBjtskVL34nXLtdcYFSysLEHhRu9Lp1cc9wdRY1eWr+
OO8hQXv/o+l1yenOxYGilzntFfWAxj+X+pdZdmeNyGkAfvEAYCp6k1Yr/d5jme/Hutv2Zp0c5OgB
9B/5IwigPbXsy3/5cmlWLlwIdxDLw1UOkOhNy5T+A9vKWuipVBqUdRRzm0QRgwVerTEuEr5Vpn4m
1Kx/NfFs7+yiHd5Jao+vKdozpQZGuW3TKjtGNuJ+HeP7DtG6PjBdiQuSkLVLGg6aHQvhLfDil3xu
g/MIX/4xUtL+0+uKZjCPe4JPB3XlT50RvdL/SzVNSg7uWtR5esnaNt2KkcbSBHrzZRq66r1zZu84
aDng3pgckwt43TdUIC/F2GCVmouvsG4ezJj5QaSjJdHlpeEsT5wrD0S3FR7zBL4wvXzi2Feduji3
PkjE0SgUWeHwOnpJcuxyU6AzBeZtqjrqz1LKeY7kUc0T9o+ZCm3OI3ZGt3eU0xjNVivDm5NxHs7K
0N4BknRXAJRcypPG5qe3VOfngVsSxrenzYCVY0uIC/iR0bEtDrOfh7m4m6lbHqSs1HtBSPfsWXp5
Kumq+Wkk0gkaUBGS1QvbxuSpzoufAWDf2owdw69m9dJqQme5WYpLAYcutgYR7JBKjVM5voKw076c
sQ24GdntXuZ696joFPXdGTRQUsTZbkyTZG0rcHbwoEe2MA4XqRqWl2dxlWT5uFZQu0rOeLUMHuKg
H/a6FOZJhJ2zJt8L3LRxsu+KD+A4F4xekRjace30tNkNyJf3hhv+5l9NXuQGn2i5npOeuEPvFdQ5
Kwtdcw43RkgKAzppxBJjNg//9CD8n3wY/0/jvngY/ve077/js2z+px1j8UP9pxtDOP8Qtu5g7YEd
AJ2NsNXwV7X/9i/ePyzDItFjc5H/T9fFf7kxvH/owrZI3ur/rOyU/82NYf/DwMRjLu4dAkSkgP8v
bgyJJ+t/GJAc7EA6NhFbWBZ/Hv9Y/vt/8+nAq28jntJkrZOTOKou52o7bcbBeQ/CyNnScXH0GrXT
jZ1R6ft4NFs8yZ9OnHTrXiKdZRSwPHvWxFYDWz59IUqz0eoa5hDm3Oh5klHK2dsCyksIMEcgETHQ
Cw/01yqTtNbHz2oyTB+7xaEXIMJBp9hlhAsQAciFK9t5DGbS95YqlLPh/WkaUle8r0W0nPeJT/gm
bKUyTP3YOaYLHxAAjg3FVEoWrEJyQh7vZEfWBQdKPHktV6eMIEedzwnojfkGAxd9J4nfJDO9NQNI
pl3aRmsu9KismlnzWc6PejZ9jIItKmlSlJ9qW2vJugFdZKrgHc1hL9OWETTU7NgK/Cb8LAvFAPIo
qs+2xS/JxZmgjMmpsTM+uuKnWrbp8a3XOumDujD2WOZ95Pp0pWx1bDr9pc7yHXLvS5ea33M0V6yQ
jJvmI8XHfuyl3tZN2zN7DEjaAjCvMZ68VNtzvVibwtt2ZhoeBw6UmEOivTncjTEAyFuMrw72BuU+
O97NqZnPa5y0ulzQ1DneGkoI1mQ8Ogj9QOcSJ3qsE3vbRPpeA5Fdy/ysj58RVc6PGWai17Jy62eh
xR3eh/K1ZcKvNe1nyA/KnPZdcOfK9Jrdqjq2RBnK5imJ1DpX7Psc8xkTRy3g93AxPTflPsPn6nh/
Zle7pArXRDZi0MAAoObhaEmTseFkHNDb2Lrr+LXhclgPORPPRG82uls+AFp+JUdZ/5kZ+vx1q7eg
Q1UYp68mTRifuQ9dkj00kgl7Tdu8tdRPrLQMfRB9089zos9EFCGpOvl8ljhjVGM+O+j+r2NXvNBM
B5s/L/I9an6yrROE+VbXwVuWYjcaYu0ZVICROLOKF4vA4CAu8Zw9Srs62QETfpLN69Y1qVX0kK6W
7rrQV128zxPrsfKCV0jEj9mEyz49mtzdVJrpcFiYQuUH0JaAli6VfeCYvTaYkeuRucf36ocEpxqZ
v7g83Jbzg44FR/KUOvlN5QAf4Aa5S49RB6Wqh7oDDd9TzzLyqAr5nsNTOCUvsjrxSy+2kXYb4gW+
3X/O+R9PPdpmcjSizh/LXUckIBLjKkxPWM1AvYPmCMSErt3+wRNPtWNNMWHERJx/b+DuZT65ZuDN
l1xgnKZHpo5fgF4+NHMCxtS9MlDd0uEALXUNupLSq7Feuw51mkWG250JkVc9E2p8rOCDL+VVQS8X
NNEefoa9Dke3RvtnwCB7vEGVMe5x8hKBwtlsucmDSJuLUXe/mBw/8wZXyzwllI/Nzi7i7lz3xtWT
0IKpRq/9AjTQt6BK7H2uKvdxyKBwouq1vs66sSkM8RyZfX+cR1fd8tnrtgxSMLwYglerGZdRDW55
+LQP6LpPjVHeAVVdUq/ZMc8rftN5sl4zZyDM0GFVZk9/tgxwqh4Y73ENc+WehvGWKrpjqKt9H2kX
Lo1c+inYcNTn3OPvbnO7Qgb+I3BlZQE1RJP2FECjxi1Dv8lAerRoNyNHzm1BvzEqwoRRrOM0bWpm
tK7DTVh/BSMJ6rIgIdvLG+aSoc6Z+Nvje2eeynnGktT1b67R4rCB5/UzBMPC1AIIDW57QjIc02kD
3lGRw23QY/NZ/xy61DmLJiJEULjlJlYtw7lU90Dl8JjigwfsqCzm9/UtTRSaE267kG7IMF4Z9Xsu
3edINPou8TTFTjHr3z3TKQLilH6ouZ42DNo3df0mnfo9cUhoBwGZ1CN8B/dexz8V1+swyBxiiBDo
eMmSPYBjuitXBbEF5xbrR7NFyvF2rfGNstyGvBpQBI36NGXlIQ/7T+LgEcf8YJ+FxjFV+jblMaww
88zGV0yFECPnDR6ate6i5VFJH0w6tTbmJeMWNwaYCRwB5X965+5JDFj70Gfqcesck0Fupjs4nJRR
O9wyJne4i8AlOd2cJVd/UH13BtZPhljw9bRyZqcqd69OFTOPGrGedSMiDPBMkoN98xRLqu39zl6a
1I7k9f3ZfXRNuPMxo88lzBe7fqfOpvlUs77WUl9H0ILMBJpU2q+0Nt2F5bgePDxyNvHR8qCaswrf
g7b+1BQvdX3sGdtY4E+7HDwzFdpenvkRieFUC6913+6w4l3ALn/EDpmhGphT8+4SWQHVN51wVmfo
ebQRFLrTkG5malvZUPW81rli3IvWJipo1C8KTCuwtA39WRvSR+7X1cGcq5axVDjvq5H5lHMtwoF5
u0d5cnTNTJeb5tIY5P2YU7MNmRi4bsMZ3WrDdUS6r+vj04ga2FEJGlYcNCBPrOFE4B6hIJoGDsjA
lQmpVyufuU7/MbPqNDbcgwf02hwsbs4TrM2oyG3ZP3WF2Eap+yMZQvoyNElFeW+tYB49hO3R5M1f
0qeA7/IGd4UU2ikAVcSYgUfFK/CBAcTWso/RxtQ0jbOxybHTm0P2LsDyLE0uvIvSXXLmMzFRfhi9
f67H5FB6eP2hpG8FgM/Ead4tI3/WRPAo6pmmkLbaRoDoV31MQpse13hHQcU7ibqtYIdPwaO1BJEr
e8REtesM+OzcKxMbh6TdE9s0+fCrmqttPI8rXXIygQ9LVOQEbPjWMQ8SUKv1Qeq72uHTAZFK+9aR
Ou79Ep8LKI2Kix2nA0pEKK7UiI6lKoBx6OCR93yCvbeSSphO1/72Bvo0hXDeFD+KvH6qjPxx0rqb
tMe7FpWb0QjyDzq7V1lnP6V1+6Hrv3luQO36FZNxpAhdhF8hgmpkFIcBKOCoDXunziigblgRzhWY
+pCcUnXp3U8CJXr/Knijg8IkOLAZqqM1vRUe5FedAX+ClYhVVhQkP3pf814NLlfu8EVsbGM1I1zA
K9WTa4iFa75OvjvTH3XrOUH5KXAmDiJiu8g/k+WA1zJbeWsyTBKBhdSOJ4CGJ8uFzyjRyDFbOSe8
A9zAcN5q3VMyuDasQRQIguy6y6vUUQxgDue4dBnCNT39yQdhOqcxm0gz5vp1HGs/7szvpqth3dGM
6SblXrQagFkkDGrPqwxEt6xiv7ZAo7vlI4UNHN/GP0VVAygFk9j0GjhoeSQVdsjwAZT6PGIfLl8o
Ldi0bn0X6iIZY82RfOziX0fHQSmYa1P7rSJ5xA5DbwqzgzlfNPU2ZZ3vCCUKzh/tJsDisDLIh+O2
2lax92r2zSHm6HTFPE28UwVirVIWTtPSdJ79ALBsn482zP0a/yxMUb6LBJ7DtiWXSU2nYaHkjtg9
MuPXpjanHPgRiNCsiYE498XIvAfXz6UikQ8lMUx6Bx4tTLO2qyNKj3wn9lie4kS7Z4X3OU7tZhba
TTbi1k7pYSh/rLL2GRoQVI/M8phRxSbZbZWVPHXzS0G1ltfwgZbqYKSeHy3eZadkOpKpowBgQT5p
D2z4zYqG19SRlywWeIWC9YDzEdrZqcYJiufsgmlmLzW5TGq7E+LJYiDER9EDk9BsJ98WErBklOCv
SGUFgjM61Uuo2aT4HagsVhQBC7R7TtS89zSG+G38PPGRa/hBFDEpL5mLM7FL10d4X2jw7YuLG2SV
dHoE6JlYmFlN+LItv2KiDgYH42Snf3N0bT7sgvU/HYV+DXNS5TShMsZWBvy1TjAZ10LkZpsyFJQ7
R04U29QnJyDbiWNlV1fC2IPFsQ4Ykvy4DZ5oUQ+pEaV2uldN9dLMDStuVOaDc9OmMb2RgyNXLCp9
a/ZF7nuoXfOsY7SodgF8JlvYLnQZKs0paFuz9FWbqNAY4pfBgya57PUGobW5HbdTAFS+Maq901nP
o6ZdmaXCHCxdnsiqHN0tPBcB8sPucRnO+9Ll4lf23caFRgg2hetAUkCi1mxkPh3hW1qc2IVMb1Pi
oPMPqTpkKYalKqVFkbjKpiopS/WCu9MY+qrEKBzFJZHEonho+iBdQx+J8UFkDQqgbVYGzQCptk7y
4ksQ8n7A1qV+hDWrvUunyTI2XoOF4+yKtx/gX6Lt3FJTEI7NAs2H1JWK43Udd97ZbtnImlBj5KBr
R6s38ahk2Hltl9wiNy2rKEBJy69eKgPwclfvY1Nq/lAP3mrG7814Cu8I559dJRoWP7gy00JMVN5M
O7naIsFBv5xvbQ3l0Gkele7dco5/ESZFkfY/zkzniInv225C35nlX6NIz3g2bxh5OWvyskjkJklk
c9MKjdtfufg0hiK6cY7XfGKJ2q5t+dqCGbNkRXxuOzUUPaDkUvCiq8+qke9DI+5GJfeTcgiq1xss
2bSb5gov729tuh+N3u0Hz/klgO6nRfq3oRE9VsGXC4pB5t+u9xoO4hUq/FMD1A9zc3SkA/tbc+wv
q1GfWMY+HK27w0ZNCGVJwKgNPNnZ/qpCXgVSW5MXcWQe24OiUMXA7hHHPzmX+FNklzHgPlKGfQ8U
21JMo8BRrcrF1qU4SCTd/NbouM5LCqOwLmQ+ba5UnBOIV/MjvOdob2SfFWz/Vaj3eA8tknpObW8s
rM9ghNRFszTrKhVM8hxF0uOigLp8V2wfZgb7YGRuH3d/ohEOjkPnDIuMPfr1PwvgUS3G9khX8ltW
wCYtsmtgqWtFzxTBDIpA5p8+JnnMxruOGgGALaUtpWW7Hm0ObRMoHEieNAftuJXfiUkiHzMkxpn/
NWg9QyClnelp+o055ogwORFqeyj0/sdrEZhLE7b37IS8j8W7Oztb3Y6qtecYHNqLTdG4702S8wHp
oKKKCsq8dJig4lNOxGectA9xFODDot5u2UiYUlM4BKvLMZfLauhncj5mprdrFKnOURwLYZz0AXdF
1r1YMscSnju7gF5NKjD9VAx+HDPxZ1QBxo1Fm5Uqtad9wyjYCVGIOkO+zUkISchE3hCKazYG1KE9
RJ3NUcr5MikCyF11RKp9Ybh66AwkjTGgzsjrsFpPGAmZ/68ncpoPTRNdl0bC1tBeiWn1i4WnZsdN
XEzkHFv3oaq6M/aDiKMo/LlsUtxak7Z940TUnb1afpvsdRS5+2Lg6Oeiha+x9VrXfhrgJBvwFA6R
McUUXC+HE82IqJmYK3d8dDBmkomxbODzink1asaTUVeL/9GY3ttKHgeGvMPoCWvVQpdZd4n6U0M3
8cafZDTBY7bPUTxe+9j4W1KIwopJiik0Kq1ilN9MZBvtIUWQyhGaanZeYFiTzoyH54nJVVKX+0RT
+r0OlkYW1a4TXUF55xuceUnI5uNGGo3xhsbMhIOyhJbSKn7xLeOb17x8DS/qgkuCghG73BEfh4qp
s8OY7fKZz7SxD/WatArtC9FrYNEDhAd61Q2WdbYQc649r8ZacEWmWOm9ytxDU03mtjDh91sVcB0M
ovemS+NzNy1kj7jYDsDudlgCjkDlc0DJzriyiiR9rhvMD/mEv0XQVOtrVeryVnU8Ifn4nZcKQ2rV
MgKats6iUhSOyU1kP7SOH/T9ljb2cKsHYVpv4pHHHoiPfWWRT99cibBHbndZrz+6iULVcOD80tqE
zS3gNqQEp2tnMYKlX2X60jI9/KXgcheQF4L7HdfhtyHbeBdWOES7lEj2EvjpWUyPpIFWlOQSX3ml
EmMTY+cOF2yQ21lPnUMAvR1Bz9j2rjcOajR/jRjtg3KaTW7Fj7CNt0bCnCOA7c5ob2a+Xb1phn7I
teY+8BJDsIruCoAxZgzrl/T4bjmjGPawCZg6JSfmGX5pm2vTUjvRZM+u8W20PWVY2abNjLtXYBch
NnVxuuFHDjW7aF0CXwSr4eQZaJngnpj1he7QnT4iTZGhyQB18Ohny+fCnPHe5PoFug4YKMyXK602
4rcs+CCwcZbt3cvvtV3sw8Ha5tUsbghTthWic2Y7mOW4VBmUf85qUtSSMPvodRoN6uxqqvESB38q
4ymeHbVKZzS5xniflqjQO0Rq0l/+CG4YU/A1HhfQK6MaqFG+VlBxXKues8j8juhxJAu5FwIJxDHE
0SnZ/pbq41HUT1jaucDF1oem51g+U3DHNid0m73CTd17XMH2b+1PZjIMxmxvYzeSDvg2d1BWaurV
nlXogJx2ti17LHWRmyKMGVyJo0vcLoxRgGC/7EN9IhSGPSmn5xp+Bw6BYT95uFqHHgvn5L6NAUgl
i24NwlcLhhAcuNbXq6L9UNpNoUpjSHIr+ADsPNSr4q0KaF6FmO3MrEdz4IW+Ho7DexQ+5tpn2crN
UCg0kvB3ecHsvsI8Vu+0Rn9vM9ZibKXI9dN1CJ9Gxz0qxzrYkY5/Dd9bv+u9t5TnZwz0R7IOnyme
NchvdPdU2QEbHC91+1SyXATTc2IHfjkzquWzT8b20ve40vVlgfZ2xfg9iuxTeZE/B+82wgTo5WFy
/ybccjQE0JRKaOyRa3vpyXG6Yzq2W1pSCgrj5FM0/pX5F70yZMxWAfwSNz95YLlFR9VN+qHiF1QN
PQcPhgqtm7OPrnBVmbVVimuDEFfT07YpcSUWDXXKw19oW6tU5JeGerEy1BnOevwEU7OKiHXqZgaj
F46yDkKlSly8Mm8Ar7ZcdPnkzPAoo89I4uTN8oPWP2QCFTm1uz24j32sMXW3bArHn1zjK+sweE7R
Bu/IPc+41DfEITvZLw4CUEawagLubUSb6JKnd3XEZUjsy1pRe/hoz8Of3Ax/cD+Af1PVQ+ZKxBvz
wcr188yqR9b+kLkzw4k8gqOny7cKwpYNMKW/FkxCguFVGPG2Cn9H5gk1lDv5Vgy3obXwzr6W+DwK
zs+mPee0VXT6cTALQnn3tGccMVJda1M2kKXu0YxB69OgOJIY6I33eG6J2Q3PmfzM8BwzbLz3ChY9
JmSbHhJB3aj1Ycbuvqgw6Leeg9sTg9M0ZOdCJbu4zk5ly+C6K59FTCmrpu3rBARzOXJThDYVYG8N
TtKw18Wo7QxQ6wkVFDN9QjjX2fjddVs81JGznrWAjfA+mM8FiGlXyvxCXCFsPzsJCObqtQcoHty/
W3jeybrXj8x5RHPmLmWKU15dZp2PDoEyOqbuQcU46sNjwQmZxG/KYZGW1OI1m2+ZTS5X/9TYxpNz
VR7HEMshZ4hofDb75DLQbqVPbCIBz87RqyiSTJn/1jWNNSlWzJHxWEkv2E9g4JhLxseMIXI9vgFi
BOay5AvUBY25HBbpeb4Ki2vkQLCzCB+kJzeZALBj7CMzvjb1hRYx/AG0iCQmRyXUtdjtfdOSBD2t
GzWmXvDGFrAK6MPR65NVnCxMP/qr0mDlIxdtjVisyurvWLwaisHXJpbsgZVzr3N+KQUAQYwkIrN9
1ttbbU4hAWqvmAU3bcywo8enWGPtcufdVBn7cqjWbtYx4Lk2kuc23NXe8GEkj7Pyp4I2dQfRPKlI
D+/cmBCyfWgNFpaYZUpuTW/2zVH8EbP7FDkLGSd/8DhCMKxgBOJaoLSdkya12g/znEGgmV/6DAIJ
XRNvZPkMTE3dniZNzonDJi3ngxQkgyzhK0FbBF+iDvZ0DGg/zXVnAy0rfe4jSCnITLhA0EWs6IA/
g2J23aUsblJc0DAECkTbrDurmS68QqtubRR8DXb5aZDQndvuzTLd+i0B13L06FfahlSaXODKfKTj
O1Ykkh9KfZdZfG7ArBuEVgubVG1H91BEu6y7zamICdrVIpJ707RrAMlrjb2qplug8yNPn1pRcxM2
16Rl4xfT1JE49qbZ0SOidqOElT8xtV0k3+eU+0XNeH+T407KO8Zq1XmqOfAXm9x7ncRrnVwNGaw4
oq8omdjgMAeVk22pEc+N/kGo78HAIlU2B+l+eW18T1BhZfwQgBJ0HarzZvpUaUBqUJLT8hBlh6VL
C1fZcMIOj8p9bXKD83c7Y6eWhHYokFmRQHmas4TQc2t8eBbYGO/D7atzZRtUXzBlqwmuOjU8SCZc
STZf6Av8KcI/JuIx9SzlxpM4YKPAibe1U1zRCwy0qArOpdmf8affE4VJHaPDPrdAwRVBk37Yc2Bv
00k+8G61m4Q5yWam+QpFwtM+uGfzOjlMgYh3pDO4o3TeGpnxGNJZvdLt+G+gajKC8oIvdD7GY0Ef
YLivgXEizHFKcTHQJAlPci1Qp5FDgUIudfC0/9KBzYS30f6UmnctZua4MOWvWepRIhC3/XM/m1+2
zhteeONdoA5RpPzbtfVhwve1mtKwZeyF4u8hT64b0kTaOD56XqJ/tTQF79Xc0enAFcWZgQFaXzQs
A0w0xYhUhMQSEks9ON50UZ1Rw1gKbeqOIIIKN6ofgSbf547bB/VoL54MjTVKJKWFQaXzPqlwn+TC
eMwppvCMiOP1bYhgPE7aMAB6NL68aCY+GoUTV87RvNWsRyu3nYZ9KU3G6KEeB4ABXI9HyJtPBJna
nTt42hHWI+WB9kSlgIP07pt5s6+c8S0c+TZqLDsbs3kbBupdIuvLM6xtapsMsk35GuozVzC5VQRD
Ujnf7L4+MCHehi5PIJVlldTPlH1cHap9skSzV6UEv5VQA111XoT5qdGpm9L0nceT9ID7+iTKsAe3
U4ThgfAH1V3UYmFUTrLsTXYV4F2JSrJTioSdr8vE6bgmGVJjPQmf6cSDa+DgumWiFfHn+smU7AY7
26iKbJlmWOSIsWmdOpOfSTF1QKOlRxKDmBsDGgyqcqd0MnyGJNohGJB6U+DcKlridkaRULBkx/LF
UdUFjo+x4aqJacchGygq7jZ9pY9+XiJVzJHePkHsMTYo+uJhyPQoXI8TRiNjzphVdyPtZitbxtNj
3dfMyE2hi20luRvrJrpDboinNKBQ3O1Eei0CSd9cFpbGxwAM4rdfRF4YEwPxQZSmDPf674xdfeWF
c/eXdxBXUmB0t7lsnA35KtSVHBSBV2n1Jef34WSYIHQ7s8b/gmmMSbmd8DCPusgV1UT1TJTJh8Z2
XnsPicysgn2CeWMbdYXxwcidwXRZdbdOzkT/dFKIqhiEr1f0rFlz7L0DWOWcm7XDJ5zDv1FRm+2+
sAeLntXB+GpCht4hfoe/FeEQvJA1J3sd5Fk0aHsvoNoFC1yN0mZH3dnk1d8PulmcbQ3RiZw63wXk
a+4bx6Ju/ra9qG6WF3FzZBzJfjtS/cHWhNaj9SbnukE/RBrnMl0N3VVkMOoIWtZgtpTyfvV4NMoV
+a5+JzNQihp3G1qaiC1E3Gh2VaSh+wZRrRyiEG7DPZhqLUzSpAapkqvufTEqBijk6rCsfbZBkW/1
fOFNJmXc+AqxiFFsX9Efm1O/86g6YiraYpMXDJD4kj1ud72LlawkiufVg/wQRSdvC4Tro+Vec6hS
iwA+McydbCx5zbk/cMKpOFFRn25KQipC4JepTXZFqHxMKIPa5r0W5TlJPOTBIXJ3VQ0zzHSLhu+t
YaASpJW9K/RLSgEYk0RIgD8VxSwbJto6vAHcLTe9LLw/WaOJHVFzZ9NXjXUJHEvfElrUjijUHKLY
S2+AWcc3B4bnWjbSflCCmkM768lN2JUFYKExvKubGo7f09x6xNgEaJBW9Ww11kDgWf/7P7DhrWYX
axp3liDT1w0VZfqxUa55JoMr7qKFpsXhzCk3gcc4lwvY5JexVrq4LloGfUarLlhCTEzF5RQ+dAjA
m84U/UNqj/x8ABuYSgtn2OLljC4UWvJsGCn8UZsYA3J/u0uJNJL4q/Q3NwC5sK3zeNybeeZ+9mkb
9msd0H3ts4sR5kix/TiO9kOR+YjMMAU/OaZ5mmsZOlmGEBtqk8sCiSLwrl6IakJEuvPbxHH5WsDX
CGU9jEGds2sWYCaDCkJ04dgUbFalI97MLDAeEHhIlyi7ysTVTtNuSdkFwIFR+9cpJpKNprkJlY5C
lme0DfTvxOp9x7R8V5LCN6aE0EcFingMYHAA6MbUPmAZCh3b2dPv296B7sWPFfeLWjr5NeEg+R/s
nUeT5ca6Xf+KQnMwgAQSZiANjvenTvnuCaIsvLeJX68FknEvSenxiaHJG2jYEWxW9TGJ/Pa399qY
Pgbi6GVNQtCvAvdcFtHd6JVqGyY5Zdw04WGFZpFLA8JOlYLe1L4MXofEsQ50Z79QQVFdrZbOLCHm
kt5YkDC1DZJOkDR3iEjtsUp843U+CjfSY4YSZa6eBoo4F5xu2j3pVrkl4zUX/EZ8iqxa39PIph4h
zKC6jGSsXRMTTYQ+cdPhJt5QqmjV7mtSuXQd9bSUAZCoHVCnlqTDsM2eQjYJvjtQw5xmUFgS1R7c
oan4RgTaanQN98sikMeW2m03oCjDJd8hliqVxcfD4Jr/Gc8mcQS596JjY964wOCmnk1ymyDHpOQL
L07hMT7hJsXymmQWJs2EettR8BEezC1FA5up8dy949DDDmG1WhZ6daiYs29lbnVnlpbWxqhGdTZV
Q6Fkm/Idi2varaAF3dNBZ8PfGLorGMlxlxVV8uwWMYpT6QlyP/EwdheTLQnpSIoFuO/0yd3YjtT+
zmpsK2BiZLV5Vby33YLLiblmneTs0nAk5+6mN2l73am3HP+l0JSO4pa8GqgLy0xraB8dx2JXF9kG
/tewMfqaXjNujU+ky16hiLnrcpjF0QJY+bM7mKGzKKrAHhcVyJJZmIZvWVcj7vsxEWdS1mz+g0Lf
cP1hj5SylXAtFpUTC9KrIw1sWRkqEJvkI3UBoGAqm562ZPqJ0IM+Uwzju++D3bPSEe/FQKHzSNHC
eoQ13i9aNulMDMoX63Kku7XSdJ9tcQYsuM+daO0MJD+4MLQ8NLiI5AmZAwW6IkPNS+muZnyZ/J8i
SAyLA9vGNAQZAmxo4SVvRs5b5wuMBWaGAxnY1Oy/qMaBjqYAz0lbZf4XRmT3pJD9Krw1q4lMfFDF
wDg8CkJ1mmAPfECTHX2PzntGycdWZyl5xcRh8oNqYj+khtjyGEK76AKeI50QO7/tahQYcvN7neQw
GAczYHRWrU+2TzGXU6mZ4nXyo/sWYyNXTEpj4RCIaNdy/1jwY92XNK2bXYWzTsHX7XlbAnhL/app
REjeCsjzVUCSQDLCxXZx9BRtfcjHfSz8GMtnR2DQcpr4pWRGwPNV0bhcGsH4PWRVdLXSiRy2TeGD
TMKRnsLBGw/4X9nohPz/qNOWU2+cXLes7hJL+e/NCJVvUdidflWpVn0quhS/ExqmD96kq2TtBBqb
ArOfN7Bj8BMHhrxqnOQbgQAFfYgMBOYYGd40Bcp5CoyW4BAy+QDsZTeNPVnUYApWAeyPpWGm5b2H
B/+MhlWss4HcCoWWP1LmB76JNM6gcGDyeOz8cfpOkzg7e75P21o6edlCCG12yTukUql9WE3FWK+V
QrKgNAV3LAQzwiBThY81GwBA0Hi5GwFQE+xJ2v2MBThATiE/PYz5uWrKfBXFSl3HAjtPHTn3JF0g
sEAP/hG6SWUvJWPrsSO4AuDTXtdaOP2s/LF8BBaLPSsuWLliVX8mr4iDaoz0GoGudY62y1YpHm4k
Nl5R4DEj6Kq+pFVsbttcdNdRJ8e1ihLHe6rhou0KaiK3fWZU0LG75mZq84Nh7FOeQk7GSUpGDS+b
m2NfmpR7mXJMV3xntFNoGtY7ePjoHAKn4vkZAOHwIYwRNRgN4iXTcJviuOG9s/UJg48d58vR4Yig
ac544TB579gq7lkLe6Ax4nI9DJraUIIWk0CO+Y74kLCot5XT8GbDe725wTmlvpq6RE/e+VmYHewg
qD+JXfF08k8VoTD07IVjt1wBan+ikmZ+mk/asQrQKYmCs3A5SoJHAownaDgstdmRpup21dYeyd7Q
n0a+9K4Z1OyBfGfHBUV+sJOwfvDkICcQ0N/KssSRHwCa/Ocuy8Md6TxvpnJH/bhIa13jYh/bKwe0
kQVnlZygblUko0lYZUa9C5LoWUf+65buZAR3rnmY+ydrH3m9rMGJQ7Se6F5GvIc1uip165hMDQ2E
kBS0ZDr5bvdM9KpemSE/TaDkS/X1z+3//y8Yxj9SGP/n9quYUYfNr/zFf8EZf8Mx/uuPgAf/K7Aa
/xbVuPgCXt5lf2I18hd+CwfYv2Dkd23PFjAZ7dnm/1s2QPwiCfEAb9SFqxuwxqlw+Z3UKI1fpA6y
1JNQEeZOHSCOzW8tYJb3C6B9h52szr4ALo/1T7IBf26JcX6NHgBH9aRwpU3W4C/BAN0iWllltlwk
EM3X2OgYRruXjj5In2D5Rkz/WXeWmMGP/2ah/v4TKRPEzk3AwfprFCEqgoKuH0vyPBQwgxLMmOjK
WvzImvVBeNzRyo441WC+eJ380M36Po7KdwWuZVFr5gZG0FfIHTlpMV1UzWthKiZ1bK1rq3H/E4Qs
b89fflmDiijh4va1peRNlH+ptuoUq1XEXsEzdUDky9KROzaVDCG4UyZ4aeTcOsN417qteKyZPG9J
lGzrsB6YgqYnVeSwx4KcXaAJ1hFjFefdyGrIFqIh/x7+kNCxgHEzhzVmZf5kM3EjHMHCicZFaNHi
MLnXIHLbdZWYmwbyD/Yt2tL7LujJDg7kd+GGrAoYRUL3OJtZFL6Por2M3NCYe2Ybq2ZwHhiwRwSa
XNAg+guOLMhIZrWdYPssajEGp6GMnZXOvXlZO8XPDJYy0O4U7amBGYS02birkIP5VrW9dgt8wvme
yKONlyMO07VMXdbkWMu009ee1l4cPEEbP+PihAFbmV9+oiXEbS3i/wEU6VawByHAiqlfm33h0UPj
1rhKs/wlbC1v77jO62SVD3KOffLMXjYjroqEm/cWe1SydappOs340308+M/GjNnSR47ZauQF0j0O
QGqY2L3UETnRgmKaoNcOXl89BSrT76e+HNbZ1JO1AgaJLJOKd48Sla2vzC3vn7eriqK7Bjrt6wym
8hxxSc/C+JMa1uyOBtDoJHO9M1Y0ZYfbiOGfYoow2bLc2mIGMJNVW+lyLz0EooXm+dbRhVSFYXUK
HyqB67zwm3pZsXlomTtoKPBxgaNf8Q20ngBxsF1JPKCl4g3febYyCmNaKnRFsKA5CMzUvEMyqddd
O+WrvEHejsK6uEiNzRHAe9Tfcp6IEvaWIQCJc6p6gjGu/w1qNfhEnntrFFHvvk+pQYjssN2Vdlbc
JkIIROhI4+GvYnx0CeqSKDWXAc1tq7oPg410nY/cmaI34WrPwDnNq8lWayaaEv0tNfMY4vF0piJ9
reivfEgUWmeoO+g0c5fIqjQD61x3XHTFrxYJGUMKzh2giLVfXjyskD+rkccqkzeYEzeYfXJOsgc8
j6VNGURragwcdWlfw9gwH8nexrw4MttnNd6nsirii0/se5Oknnx3yGZgPFewM7qx3lhjeFfIFA+7
zDluMs9DNYuDp0of73FTxnxBg3RTt1QAIxhFIUas0q6HVW20zcqvy3SNk2RXU5u0dpmM7lMLj6ns
SrkVuVVcNN2bftD8N/zoJt+6pWq2bdUhOxTVh/5W4KNcMIM2edMR32XzmEk1nNFXLQBrIWE94fjb
tiPHtTC17j3lFmuDTgXmSvClDWlfFYoEvfMEwfHTMhvr5OUDtbWFC4QrmZcRBB7aW5/55H61cmOC
j9xSpsRWeXCgN5mGaKgttiLK7cfqsx+RtIPaojjRbyhQbKOdCnMM5xHs1EaWuMGCgbiPlXdvk8jK
i5G41s6p7ZcYQMMTI1tza4hdXorGCM4cQRHJg8ZYJ4GbrxtDEkJovYKRBKWe2Jn7U2k5y0A+q7ey
KlkRRHl6J+IEoEsRUpdgS4VEm+DIA8YD8Kl8Q+VrtkVctN9oaXQZKye4SqvU2dgDARpEW7xWZfhT
ZWAzsq69h35gbMNGWsdMEojsNP3aBsOjJqyXkUoVycLZZlQvg3MCR3SXWGhPSwEpB8+WPh5kKow9
0ZJmlXJAfhljjuuXL/CuNHzsJVzXEAnyMvMwXMSBsUdS5ZPYd9HRYWukVg7eip3plHyvm6y3GASA
XuhmjjIQ047HKiSJJGNvRTVrJfWQpwBInaKayYhtbUSblJA+zsIQN/Ey91uq0VQx8srW+bdVdtlu
ahFHdKI48ckJjG0LzYhm2vRTtApQQeUWR6scit3oQacAkeA779IIio2pRbTMeV5IjVOKdpS1Zn1A
PDMoX7HblV8E8uyacXnz6zRhOkvVLhgtOAaMzfDXOvEBII0KQel2/mPjdAYLrrA3VuDOhotfjeGh
nZr8FsSdwSqg3huuFyd4yEtzoctabaitAnIVjrQ+2CajJgF3uco8ROA2lN5dUftcfpssPXTxAB7V
k1h6MWAAg3Y3fSjic0Jy6rsqrP6O6rTB2xiAcCa+NRu90xjiRcwWQ1jsVzD3dWx5SHV5p84PvwcE
seeibqj14Rn/1hJ3P4rOYgKnxaU7ijBMykvZ2eWWCzn6XEELD/7oPruWsW+9awq/rW8O044mgQdK
EPxDqJyObbdprUsUoHXpdV9hFqSXZsyKte0MxrzQOJDrobgegeWuYX+yaWT2UjOaozwU2Hk1rwh3
KsqB9KbsTPLRjc+prgfsUHubY0INOa4tT78V0P3XyajhLEtcFwdKWc3voTb+kASpU6lPyy71Nl5W
XcNmii7JgC+uT6A88gQiEklMHbogunja85Ds4jhZpXU6PDC1lRutjfCLuf3UXHwvuW8zi3BXLfyT
1nrmi8m9gyhCnl+lW1k7BUGCIpWaKFQ74G5oNT1kHey4J0rWjX1CZ8p35xBscXliHLUGT6ZhlTXr
o/g7alz4NhjVj5WRes/AZsuBI1sbh5BonKrqgx6X/XjPeIo13w10xDbTcncz8TpY+ia1GmneoIdN
YbzCGDuerQp9VtjfaO/U7ITF5G0IVd8p2dA6kxqNw+o1ONehgZcrFd6qsTF+aVlMbvVXUbSUBPR0
W16GGgxD2mnlK105/q6ijG3XWIMPhMKvT0E/xi/0bEybhvzjMuHxd6z7scXuAbh/41Z1fMCwUBI6
ifwjIJrmSxtnwXUAib+minA4D4Gyt6YM63sL4187dOEqz4OHoTGAGiDQLQFaia1nzlZEooLo7lJf
mWjLO5fjZ90FbbVy4iI+FoZmXgkl2Eu3Na2TZeN4zD3VbifpkCA3WPNQhxJbbvIlrcrf0K+l75ww
Z2OOIaQjBQfsCudpXiu+gIYqVp05qOXQV/muB2F2ga6F60dGp9Bik5jXzuPAxnVmc1Cn1IvPvBiK
Q4Pv0JaZ+VyiI9yCfpoVQcCOev1ZwyYr6BhdkGYHO6AnXN/hCztsU9YRHK0bK6mGB9vkuheepPFz
3/HwbMyg4HSsqmPrzFbIITjlXmx/+SarMjBZ4hkCk/fituyyJR3gS/KkuP3KOLfvQpEPdwOhD3qx
Amwok+14JDKGDp0uisuj9BAWiih+dWqfy6Mg3mWiRKEap/WF3kQuhFoac3YXd76RPVoNCUZhAL8a
q1huzU4ehKaiB5YeZ2rI8B2Iet06WgqtU73GDToY6aF0HxvYmoqa8i5P7zdAPLEuYRKD4OutJUVq
yz6Mv8u6m5Bmzc+ks98ABD2qorxNzGLwhN0PluVvZCHCR6AWeLcDwYoleyy5ZGMgDl9BSLY2UjqJ
BM9IVshz8CW0lNtkxodvaJpgk1Dht4+Bmi4xP5bLNJXdLvJp3AWDnK2KWCRLpxrLK2XwD3WRu5sg
bOOZHEkuJmCtF1l3vJOzElqDutJLQMMCz2zGE9TqSvCShf+p2VG0KBtSXLObQrnYShMVYrfUA2pq
eIBhlcNEjW6PxzdvykewVeEpIRa7lfhiIC4sZFD1exwTGWWAOKmCkrLLqaN40iRPx2XUFXc6VV4L
NF9rM7Q9fvup3QXzEiYuB3eDCCfvh7H8xIuHL1218KRMGlH0uF+MkozVYJuYLFv9YnjWsMhZliIO
Oj+dUmt2QNdGCFkRa4e03QSxOx1zgho4RLU6PCn2MPlAQ5rZUD+fpBqhNMfAusMZWdj0dJK0PJW1
md2FUUqHR4sDIo7T9oA42eEXS9LipW00Cs2i6ZSMo4vXuniZ0vxdr6ZhZVYMOAsT4XRBEKt/DxIU
cMli5EG0AeAZnF58UEdZ46Gq3Q7rBaiWAjFupVJQdzC+TfyJMuh2XeXtPPwhKi8LMi30bpK3iYeS
jx4j5uS330Giy7WBsQKpt7ApEmhZxoteU6u60X9UDaUII+bmDNwHefXxxzD03nUMhfeBfDShcxUz
fg7FlVJpTLbotlCfC9h50rpvMrtdokLe6sR7Z7nzkLZhcLCKWRWeGCNb5TxEOKZ3gqXW65jb0RbE
6mXM7KfWcwuUOtK6aaUu+nzSOR6hlzAm1eZ5Trem6hEwmeUxzS646hcnLzP2rirTZSwcVhui+Gy6
KXtIgjk+n0t9C6D7ihxmr3iyQNSoJdGgjFaEOuI3qzrvwO/0w1bPqQqQDY3iyrAu7mtnnHf7+bTI
RnUvC5wabuw0PwqRMCW7YEc6PyH32bLlt+J51Bzl7GtjQV9PzEv8fv1GH+aXyeULW+JzWQlA2nzx
+AesAV0dyizJNnyA1nYYJ1tv5Ao8g6xEGm8a5vCl4997ii6BIfd5ZAGcQw2wnwon3VkBDGLl29Mp
mphc6ZzF6825OPWa9WAWofbMnZvli2mrPTl1/8MhErCkS7k7zDDTqUyalzrpDk6CEa0sQrV0vMJc
FcznK00O5SG20fqXllnqTzBhie+kunae0Df2LMWbjVMXcpEyy35Npio/wCDGmzomNPj/JcT/m7oX
mlp4ONPT8h9DRo5FU/TFH2XEf/2l32tfjF/myhfTc4loOTTqIdj9ribq4EQQq2CGENFHb/y3mmiZ
vwjHnMugXVJPOJj/oCYav7jSsU2PCZCYBu1E/0RNxHOAmvlHeU/gQrCkTkYLI6Jto1/+mTSSxn6c
sZ8jf6dX9b2My+mgdU2w58YEbH1qSHSRmcSLugjUvNkjQ/PsyPIzKNKfPUFR0bVv9LHyAAV1vy5V
2RLe602AT7ZG0tAxIeVhG4MP1TM1N29BNA5829CJ6FaCh+ahhFfDNaDOeGPm4CJYXQW2ntOcnt00
LLK7EA/DcqjEUs1cX56B4ETGO3wSEY+hGaCtGWe3jsRDPRwK1ziM4OsOLFiexqj9EnFZLbQIY0gu
FIlgMFx0omH2sA2QS1rE49EO/XfDG3as5y45hO/RSV4p3eEqlQFksID6t/QZGyX03t5LTr4gFMsc
ci90AQ0ER+LK6caU4Gd6mZqKck8tPbILPlELcXRQVM9RJG+dsh7yCde4rrh+KK8oNlUSX2MNNbTn
lFjXRXOXaaZ2sNwRrU/t4l6TW8sw860XZ2s3aQh+OwzbuOUXZQAYV9jPLUPPVHsYKug+jB2Sxh5P
ktE0H4JgvFRlv/Ss4l6nZqxiNzQPhoQF99GIvlSae1cP8O2Zawygp4Hg6FhhosOAtsximJNx+Zgm
AOzyynnyaBVdRr75rDigloYGZEPYxtbL6ifBrCiVr7GQFPlZWVa6joEpayzB1sxji3EADzjrSs60
LRXJDjAmYh9WpbsiabmHGPOQcR/JM4kLKZmQrwiK5IgVC2nV6xjRzcmcbKm6dJW6iEtdsKPRYFdJ
+xyl7iZK4m3uVIA3WOivgqQ5svg/DiW6ihabHvCTDJexU7waswGC1tl2gVt/WcOUEo3zFbk0v2J+
Wk99glm2IoTSRWSe4u6jt4xT7DGoGo0Cyy9QrLJka1WgYAvIr7pguHCmcBdXPcEiU71hNP5JN88W
hC7xuy4/wdN+1prkLrO7a2XYq6TpHyl3IMadEgZFzZxdFAJOQxMb26jEpcBdeFwNlvs+g2ZGN7E2
do7tTTdyakCgZxA2LQ4DEQnfaO/HXux106bCFw4ApXOLXhlU13YIAaVlxhs+PxT1OqA9UjpKOvve
cHP+IQOFxARgCI9Vu2Q0iWzr+VpNFKdSeq3AFHqrrAWvGYtsXVrBQ0lBOre/taOwLwOT5aVo36tI
EXwLP0hBPrOorQ5IhSvVQ8Uh5lU37TEQ0Dt17BbUWzyKGZHV2dGDpNt7dIyTCenLRGxLqJEVwUzS
UnOdT7SNbeNa5+XWSXBbapLHqfJO9OeRIIhvIAfI45hosnBIIHJFOZ8WXDRiRnV5dv4oYpOhJqG6
N1VbtpQxTgLvxSR93IXmBSrQG/vcYDmZ1a0G/Vz67bkty90UU89HDeGSvPTOiPuZHwKFsSw+nZah
AQZBGkBcbIqHwdAOjQ+Mvp0xYnXNOOHmHBJzUwPpo3ZHJzJrjsz6wKVL3t/iulKOz6YeHP2gQB7N
eIEpECUuKx75A9JL56wVmJBhwhhmlP4yTfCAOVa2ZtKajdbJiWLvg2F3Gx8q6rWKGUdtCpNtospY
jJ/EkF37OXlf40JOCkCyrd5mK4A2cjt41GROZfjkasOKkWBZJd5LBEQUD9G5dwj1uT28G+bhlWc/
e/lT6D5lLlODAnJHXAFE32BSiMrdPZh6gEIQo0fxnNT1tvX8VeOqj0IB87DA6nuqsjZR41FeDBcO
1ZtmKAK1cowueozo56NNLs3IPpq2c86wWxRdJMm1V8WCRusVhYVPjGB3juTLBhiTbwkVIAvlt/ZC
NOZedh3AC3mPIWGZCxquTPsOe8wLIa9u5ZtAI/2gxm9HDNfNrEuoQC+UU//ZFGa5NYOMcbaIb93Y
/8xmVt3QEMOpa/cJK8TNK3F3Kh+IJAPz20DdwQJz7K2o9E024S0XkiPXUf3LgPywaKyAJXBeYMHQ
vPdB5rPVE2CCnt9xFMxAieHFnnF5/Rg+N1b+bgc26m/1oSxxF2TpK8f5no7QPUrPBH1hRmx2z3rd
7UTX6Eu/q/cYifg2A5tjyBObtMRbzLMDDK3NyFuhy8GwHA92Fb1rNhXFNgofXpyBQqL2DIbrI+1B
vfYoGGuvNp+BGjir0EZL9+PyOg4WTya40EbgfQ+GO8Mzso5T3pgLe6OAoKbdkw8Ofo6D/kpa9DBZ
pOoKkJc83NgMeM4HPowjbpxrZOrWYsKKD1+TYgOPk4EkaP6SG3G1wThzF5nqOZthFAZimIfiZSkD
6Zd+ZpynO99zboOTnC2avhg03oqJh+oEFN8FNm0ZkuwnhSVtMx7p5IE7ljjoWIymPM6bdTZ6u9ax
1wTsmCUj9COk7k8HRAFv5xMHV31KknKX0PVKxaULkLXs7p2h7HmD8C/oyJ6eshkLuvFrDIyH1o/B
QWkz25tkMYLgIi1bl4+Fvq5hBGZtAzNdFJtIU7e0JmA/NNifrSK5w0V2yEAVUS/NknTqoDT0zEqT
BRwyGgIsMQxvvaddoW18NBR/h55Pe20+xWduNDN8aA4GEZ0YLAneYmpIoAxqXYQ1M3xU3LOLeDXM
ihioR5avz0lXA2rDVFWvXaOHosu1q+1OIk2f0qL5psJ0V0wVwxpgoawYoaa5R8BF0z4DdUMijFEM
gtLKDDAkdqIzzlH5wwZi2ZHvisgcq6Tft1K/JK23DVs8nF7L9s8xJo6HZjNkapPOJEy83HuJy3Jp
YOCKbPddGRktqaCOFp3E/ePEWw/qc+HzPtnGvLkiQ1QOMW9J8obWGh5NNR5D1Jml8Pp7k06ERRtn
W7N0BZ/7ho9zbp6iWW2wNPRpnEolRLSs3+LvQlXJ5Bu5/nSFNnpmPtTXvS37RWI224wKE3a3AK+r
KX6SREhUlX9UvW0say86VwGlLEY2tPj6o51t5hjf2tBaxTJ51CL9JADzbznIurXfW+4iGAGJ4meO
0CFr8GfQlTe1BWbHTQF0ttI6VRnOLIViZsXGQfWQtkI/eBlG6KSTqkxERXgFlSBvlSF2bkKZci4G
M7mVXUpi4YdqY3rq8+KSO+LNKNkw1zwLNqz9Lpxzx97sT5zkiiMxOjtu/ubAioQ7jD1/mJGpEelT
jebgTqcfSWshlWRJlMMTHWkratKrDcpvnUr3qRXq3u6iH8OkziKLTk0Tvzmd0y5qB04cDNJ+LUJo
+bJtzJXyItKVVclVwKduRc+deG0EzldpkubmXIRsnqjrwBMXAuuum1Onpa8vmn64asKMgSOYtxaV
ZFbDUG/n7jOzPbpj66w7TXvIhjka2R4zYR4Clif0FpmfpUP4C236gRz2U2O5+KTc72GyvKU9QplN
yw1dUZvQLuGlyKzYGJ7JVwv3MuBua2GSSFkOOQGsnul81eiYqjw1/FAAijoMkIvQG06q1n2kF078
tuxXka3mhhr/flB4pCqC3ByZ8VsydifDaKgSMQB3TWK42GDnyLzSD2ai32+yALlWJ8afVN2NT98c
YxefbVU8+X6+jxWVD2QHyt5EgQGx67quD8y0egSEVK6B5h0boV41Yv/kzoEc1KN6FMjYNLk8Uutz
dZPpvsm7I5/hjLd1eMSe8SsM9r3x+jMaGp5+bTyYcbpTcjhaobkPbCzKfTvHexy5VjEXKqvo7vqU
3WydaV+gns9oEJg2yxRKfOxdA0luuk17qPPgN8SMElZwrvRukistlQTzEuABmncnSm/fNsE3+n63
RQgDwGE+sybDMtnQEFplw0viBnTzguihvR2ij7fXrNxl499mxMJROJLQJuUJeoBXjyg+xVBJfGaz
tuPataajfCbscuroZbfX06zdWa7Tb2xNn/HiHnUNeij3LJoGEDlRx4qj5TbOsXpQYauvW589Dpby
w0SPiF9Z1MXRF1JF3lvfcXFt0pYLrtfg6ZaHstNQEVkabqJOS7mm0F0nI3KrLUmfJWa8w2jqyca1
6PfSB2hiKQKM0OVdyOa3U0281gmXYRdvXsw2O4kienar/Bj5LmGowgRhYidvZsm30aJbdAlKYDPW
3sDfqrkG9nJRm3m9ISRTUjUyByPq9K6fomYJqQEP9lBFtzqM3w0RTkcLXTuTwDlBsbFLMrWthVds
S/0hWRabcdQJ9IsZInOS2Gkl5jo27HDIgTdWdbHRJEbM+ScO8kZum1S2e7G4xaL98j/BqluTPIPS
+CqADM/0Q0ByoYm0L72c27P6afdUhGbRE1/XD+E615D6lAVVPoJbef3plQCFNSwSdv5Bdu3FNuts
g+i6sbhbM8FSKwWMZmD/lGabJJmMn6FBpb0bluHaNmBHgFE3lwqU8kl4xpsRltzhgGyRo7B1dJfw
oZ0IctZtCOQrhVgDf5HkgsYA4VG+EUPrYT1e2iflaq9xSGsFd4XUIFdpUBsZ5Y9Tm5HhpIDVZheM
rxbyTLBERvsEjweAcOn3XEGgtljt3Rzwz0BjGn5g7cI+ubfNq5fH1bJCv4GpMUMMmn1ZKuTT6mDr
BLlpyqOZjBILtgtHT6ce1BD1ax4gMqIQcCh2QI/p/I54olu3Vn8dh8rfixKQAkPulJG2zDuSxm71
MrLLWfrV9Fw5NrcY3Oic3v6g2Nab9cZ3TNrHQF15ztbLs/1YDLc8gX0FwODCFuwIaeisS/PccgUL
7fyJYqbHrJQPVPY9Q3HYNWHYLqTRYPuxKJBSj8gIFIh6zR2MO4ObCfzNgpXLOhU/KJk3Fl0z1Qy7
3WscX7Kmeqoz9N8gbJKdsNVnPVkHatEsLBrezh/mMT6E+VB2xDplSJZmssVSEgtMa7pZ2KkfqFyE
rNGwiw/4Hi9wVh1aMQD7BMLwMnAg4ny+Rb2aS+fT12Nme+eiJFLaA6Me05na4V/Duk9Z+PuHnJ9T
Z2pmkIRfjVMBInOXtk4BFu5OfoPqRGMTjmZCfHb0OmUUC97J8g2lesk6EIyPBoCl5E6iUwrbzdxT
kNH7rL1gdoC75xf3I5Zo1ixZBi0gfFCmox2BomAqlSrZVH3PXd/RL2RzHovEfTIbihCzmZqi6trY
JdN8pVynJtSrib0D+aALdmCsQN2Av6nc6bZxKSmRMvx+Z9fNYxQW9SZXbzKWb07lOPtk/I5T7Nko
CVmuX7EcTBc5YZEoNOBGY/hi0Ruh6+5rzg5017XJJ24ykAO96i9KYSy1ANALOxygH0p30UYxOWUP
CwObeWPjJDTSshVmzALWbUOaGIpO2xrofCbwG2ClfFG8PBLfdTiQZ2u56FiixRJDAdy5ly6hrcaJ
iZaaGPMNZIBBJOB+fW1aNp18+OfK8zn6QPsqvtu/mk7/5Ez9W8L1bEf9L2ZPddGB/2NZeVO/5R8Y
fb9+lannJvH5v/9NUYZQbXmeRUu3/K0V/F/sak3+gifVFR4oaum4tmHSW/9vg6ru6jpoazk7V/9k
UDV+MXGC2XCwwVejN/+jKnH7T3qytBClXQfZSZAO5U8uv90fydVJJX3cYcypdliNyW404unZSqR3
yOusYSTrdH35h5fm9zLz/5Z32V0R5W3zP/77//YTpWUioIPBcmydl+Yvnk+dzWrbFIzoaY74YobS
AbMB4XXGg9IquJEimm5//yNncPgfVHP+XdKSlLZjMv3VjOvwQv/xX1lUEjAMjYzYRABQLuJeZTjq
QYOYVEhOHDVB6eAxsf14DboleO2sAuegCqxvKBLp+1AKhvjANMcXKB1sS//+1/uzSXj+7TzCnLou
8CubjunOlt4/0MPNAjxpGwCATAqF1QxGkE1LE34MdmoQtHiccmznsuCa+vc/2Jj/3f82C/OTbYEk
zVpCzBB1x55ftz/85IiKnDikOwwbndRmt4FLG09qTrAoi7DTibTrbBIiW9TXLihr4zjj1yp2cY3G
cBZUQF0UTbDpPTGlVvttj8WXO/gq/g8fFOPPu45ffztJCNuycZN6/4u8M9mtXEm386sYHpsFBskg
g4Prwe63tvomldKESKVS7MlgE+ye3h9VdXFPFWwXPPbkoA5QR80WGfE3a32Lt4O1yl9/Om/ygOQR
w7TRUT0BxkZGfN96AMZqeNTMJDAFBieLnqPaSb9FDuIESf1VK49nKccv9W6AGD6Upsqtm4Srg4xV
34JC9G8+RN7jf/oYA8f2XbYHNl49AjlZA60y5798jAQF+OHEJp5aLJLnNI7aPb9NdsmpgU4BEo66
QNEkPIrKJB69j6bK8Dh4RdDf4e0orucMyodPU4vHrRq6BwsjyjYDmA0bVLUNhhNAWD/d1GqSnU4T
4gy7QYpfpkWmwqCZZX6Yz6xVmzgEgzcpq1/uR/Bc04MXpuJjiVizn7RDqD1radNW+T3jYjgRyKVc
9yELy8XZuy3jG67GWmXOxuGaw6vax+1E9DiAn+we3FZKvDMJTRnuktzrdj2HWyxpYvygfwpaCY5d
R5P6gCpnF7s2bazubAqrPwwzSqljP2iGOFFPv7MB80/MtMx45izwEO25NbpzsNRV0XxGbULzZ9c9
GaBFK6Hq+8FgtXuSPaZfcZDA71sQ6JidnwgvvZ5TLCqoX3LcSr7NV1z0DIxksAcPoYwunYe2m4Gn
9Rh3t+yi0xsPKXV7U6VdTbFIcYjXaiooNgmcjunU6jzPN3br8VHihooaUBwTMOR6cYB0lgNG5+Ns
2fZH7EsIDCGSuGQXS4ZySM7YT8kxbq50hKz3gII4KZ6Hru8uCp+1tRkxKc53jPxZeou6KX6IAFk9
SVGh+ixmZoIb2oJkWwrDzgcdX/CBfagrEEhiDdxg4p/ufa/nnF5gXFysoSdkuLCS1UytOo40XSv7
t2qTPD9kYRjdqFixk5g13m+YzYwVLFkBxKzDZbvAGhr20xwbQMJWzDPoGHs7kjqFUz0zyQNGHPWZ
1tiCAGWQdocQ0d90pRAPMnT69irKclj+gvZjejbegGyuZYceHggWw9fKBPVexhO6icbpq1eLk2Wg
fE/8Jy01GxBpDQqwURmPD+xNqEuAyeYYaJn4SHYdQ31upNZHK+/FlVuoX2VpIfDwrTpfg+ItB2VP
1B46O88+50zSOll+zlHVMqQSe2kqGGQlHfm8+GyX+uVTFIZZrOm7o5s6w2+JfO7GbjP7Oejxh5Of
xDJlMyxTf+rH1r1d8/To0U33KlFU71yC6DeATBH8TFDBk66vD7If+P1nSCL84RWc8C5pKKytejiE
ecLorpIez66ne3GYyh6iQKcyznEUaqDj2YBS60XOK8kPEYuDHLMBIt8MN5JkeA51xlUHYQd//D7O
nrGkhl9I8yTeRv57RhugEZ9rzbKaMUqQXokWTNecK2LNK1fvgWrqp8xjW7lpyNN6zWuQtWkL5XzP
Zha5jODP7cBKyWN7b+POgxbUcX4tbIyuAiSJT96SyY90mqu7dnImBksNCDRTBecm7evruvZZF2tb
1hctHU6VukF/Ctkuz/oDTjPZHgrjYehshPWnVmF70wTTsjcoqNhQ1lCCRm9OAGHUJv+qEVgytGKw
AifDGlaPnoVnto1VeJyCWu66tF0ekb3BB8PZcslj+GhT1lnJzUzaeQiCkZBZMaxuCtOju+oc8gz0
yHZjW9ncXDYJFXlI1M1G9/34U2Nch1Tkx+6N05HO0ZkGKxjW72OWo66j0YEfMjAEfMjjpd/xybin
APP71jO1/NGE2LCZ4aVhij7SIne1dZjnpw7DZtNkCi5DHORbM3rp1Wya+Wg3DGeu67jwzm5lz8cs
qR2NMmrowHBX5ombv/hQfureZKIdDmWJ0PGhFwsaTmQK7cBU1GkeS9sN2xPSWvMwuxDFtnBDfNx0
ocovQ19BxYKafW9VUwY9ZiQBQNkFZ1nCzJOneHl3446JCClV/mEJg/X2iWtPPRBSXVoPJU+6Pqd4
hxFAecKKzgOvAoz7bkoOEEvAgbe5d9sFiN3CEUjQ4NjjDr8DppecvFSrk93VVMj7QRF/7qrnOlLO
dT7M84GEgyOOfvjY4ndZLI/aDv90Qj+SMrXHZvwxx/Fdu4wHb2H9QADrWbYg7z23ZchedCxvXROv
gCHxVKAW7AWYRGYC7KmYIU1lw//K3XIL4IZxbjSKveBtflltr4fGkf5hhWyeBliTSASBjHHTBeB7
0+xPxL5s71lxA2SWnV7uj/3H4DXThXDXlEAGnnDgG3yOnnKbH3XGBgjpq3XCZjp1B7tVmJSl21fp
VbvGtmxhCpDSlAkmE61dsN6rHThCiGJ/ZVD/UJza6Y1f5kS4CyuxD0E6tgV5qk4exb8sSQ+7VZGy
nnQaxwfO5yQ+p5nvUmphimK5GcW2uhlVLtUet233XNscqoglBJ9wDr+bwI7osWpcQFCoBEdCwFkx
klkTxVdl1ZGGMfXyGqwJrsw+ZfNIqcFwrp1kwpJvnNA3Z5AvVGig7KNNmvbpYC9667vo/4imHPD4
oI4ZTkK18rbBGDYAQPJY0dd16SNnnIIZezNu1UdiPTA55BYiNRItSvnWgGEM0ewmMFwbe0HLWMSQ
svDf+S+8s811BkwTo4qlwFC2AwEE2Vzq+4UDiFBCfMVEsMfFJ3ma7voZsX9tBVRnV8+SqSEq1OeA
2j7c9FgaPFahpe9A0LE8BLIp+1k0AV8YpK0XJBUp/Lsirc7dmvC3X7y83eYB6dqkcjsvk++qn4nj
leaqqUPNBr9PvfoMrYsxeYPs+5jgdTp51VDtpiEOd1XatHd1ubpQuU2KO2WF05vBzvHoZbK9wgql
cIyU1Y0rxeuA+QHhmOfc1G4R/yDVEulC4vTiXdIGXkK0PicSGcRX1rnBS2zaDolJZH7zycq3XkQ2
atqUJ4ZfL2K81TpWv00L2b76TY0ByF+R+fDiYRhW7cfksEda6OW2uYuQpEN8NzPyKQknxPfIcsGz
3PFk4kK8E8DHqg7J4ZUg0w1V98DPmY9uVR3gRLFqyBkCLjV+19mFEuSX3XA0DRvoUdfY4UadviJk
YZ+pfQU0EBfyNtATf0kTusTSWdJQXIl8vB5895LG2UCIJ5Qupk78wx6Dj9k22VZpXje0d+fIzeKj
p4j92HN2jbc1iNuRyIlHU0gcgnPsDudxmuJ9Y2l1P8pePOdkHF/KXjTMePR8P+sSKTXqUPD+EDD2
kSC1ZbGnszUP+TutabLtwhG5ArfGUWGQi1CseMsd3HxcyZrRVyOBWnCjyeYTBnl0DSFKwE2xuheX
Xv1EIF5zVYaAS5yxju8bcmDjrLsjB7W6ZvVr4xeJo6s4sAgnb/OfflSPv2Rk6hdDsUOaqP9g5+mR
Ig76eEKoo0ea3ob5eXGN97LbahucZSJ8BwaFMDeLxTaY0VTGhUY6Zl2U8lC0IXAu26JhbEr97I70
6LWCBDJXM4HMKiFaMc3FcZz1dVBosQ8RPt6GeVCh4i2TixOwT+4bpTbCnbo7l8XBefTB+7nE4F3m
TvdXehitZ0ousSPUkHRzwkUTgHij5u+O1GyHkybYzWBWfswxIQPK1cuahovJxMgPRsYldYhp9mMI
WILt1kDSsfun8cgmPBhwo/s08qILThH4ckkXEkQ1O3dWOUMxTLqKxYftg/qL02A/JS7V9GxNqJnz
8QCqvL/MOvChUswkFQQW/HbLzBeiGrrnZMm/QnZsnwQ15ztMBuR2Jw6R10HKADM1Y3TUcVYcC7u3
KPeTigyGqr7Gy/6JniBiHJ5UFxiOBA2scqF+tYzmq3k0BszCudN1t+hVLXJhV3U1xDPSFrKWzAcq
j4gV22bwM/7EWFS71atqVtdqsPpXp2aoDsXYYGrVVRPesLhiZmmIlupW/Scu3OyAJkn/DqkM/wQt
2EGzKkZXb+y57CLrxlN+fpzZsb2EXkTv1EMbvVgEz+yh/vxQS8yZKyWJ2GtCJzPi9lUQaWexJr/q
azAUm3FVtS5i4OovGhsxD9qna2uFhlMV23vEZvjbtS8OYx8/8TeZNombursoibqDCccfKsKiP89T
cZ5m+77zBHGWFpc0SwI2zICnE3w3JL6sWt1mle0OPtAmwvc4XlZRL8nfHEdQBjeCu+U5TVP3ZFFK
nRX1BQ1d5f4umAsfSjM+ur2WM3dBmLxC+LnHG74cLEf98W3pIHckoUdxtZzJSGRnbeZ9S1L6XEzj
hbOA1o3YRQyvxBDkHkbMxHG4S6f02jFynlGurUpotAxmHzbojgYLIokdcr3HvN4nRl/RgeL4rQzG
5Bj6oftaZkF408zsg+UqxpZgLQ8Bag1SG0IWfOrJGaAAaTiziBaEgSRV1AffmckWXJdXo+fCVFPZ
Z1UU4+v4rQ2fVpm4GtuNO5MdUWQFgcxIK4KnaNb6AEiCDbVf2hQ18psIvvxMJVu4bpWq0+8agqnj
mEzzAQH3glbVnNXk480tjSH1Noe8/JQ0C75GFE28SN8KeUXAOVzz6iNCPV+sMvpm7jM2vH55F3Qm
If+nMfLGi7GAbJK29X6inocePdQDSRVy/pXjdL4fhf7miqAEs6X8hWUQ1bqvWnJFmE7/Kjxb3/uZ
nV01qPpvWqdy771VE2DXtBcjwcIPNJTyKlJ5ddQV+etwLDBvxlYizlWL0toiA/SmT9vpoU5wk7AW
5F/LEe0DuadPfTmBeJi98b31BvGBKqDc2RZYliPZq3lAZlI+n0Jw+O6mY+J1ln7Q8Q86Afzf4x7j
sf+ig8X+JH1m2YdGzZ8uT/hxlGo64Mwexbch+1JGgLqlZfRxKmiC9mGUo3xaFb4kW327YQAMps2m
7Ur3JXDcEfVBLSk6lz58rTF2p0jZbflnsDq0ZiZqmodutea4C99pl62unSiw5qupDRiE5nn7G7df
eMqFcH/Wqx8oruSn9e0QYhWKZdgNninbn4rVR9Rk6+7Ed5eHUbn2a+JTyiZ6MifbtpOPfHUqaawq
zAV8yqy2P5Jj3V0NxG9dg6WhRiIQ9VmxpXywMUDuMx6aE6hEG/IyWrdJZ8OWXZdzhN0FXgvF1TTr
BDIqTqPaEb/xtsR49fFg5cP4hoa6cLmwbJA19WrZCm1vgAG8xC1WhxrvEl2STDaA3aJTuRrCptUa
Nta5dYn9jPxfHPB6gxjiphT4y/wCbifKysy/cqtpRDiLd4FV5+pTi1TB8/5tXgtdfGz93M7RIwvy
PD8NboiSYmknIHHO7P8JRn9h7ziyt47rp9KNpvo3mdoeLN/BYekItTLA/VEz1rgbyCyO9qNsiMeY
WltcCfahVOdmcdA0cLB4e+ik6MMapk9sDn1tI0HW/nxglW3eQwqvlU7bhMRiG4unkEwIUDDCe8DY
x3hJgTVnaOR5Ft6aGKYgK/JgzvL05LZBnByY4FEdl3Phq4tshmiEJZDP6hQSWN+fq4WBy7V2YkZp
tUWS20Y00sEzLoS1y3pFlyXGIj5y8wE1rcfQ3HOcVvmvph8JrOigqrGB4qGVP2FndeI2Ad7sfzGB
y4GnI5RbzRigTTk8iWDySHt1S0puaGytFneeD/+Mg2XoskNG1fI5CBKWkDXTiISFeQy5qiOE02Px
oy/b4gfdE2KmyC6996UF5HxMKyWXW2IenBSfC9tkKUfv1oA9oD3PgPfs8LmSQTTTtd4gLZm6c8ks
kYSXPurusU1GFbHepm82mHbAW3tVeV0V2gLYrvAuY3EupupYqSSl1Bzih0RGAQApw4yYRyud1kAS
XXyFhpnrTgjpyxd4uMRRAwTkTE8ESqx97Ggmh44SfQNCchzhiQE+qm+FPSEYzLFmM4ZnMJmf3MZn
g9CCI6q31YK58dhhW0bX3ZFzPiys3Mhj9L3hMUmd3iGxo+P/HlB2Vtgcu+I50jyeoLts5O167Eik
z5ceBAPLc0Lsg6hljJcMLcVENZOXMVjCtw81wq0Mq4413fhZFyxAAwLzysJjPA15UshHH24q1HYJ
7sGVEXQ2mkR6Zlm56oaqPLmJYxYQWxfKZQKqj9XTtuOBsLcp1WdACF4+4mMzHqJmoXJQVcWYMUUf
whL0EFlHi9mRBIKCoKcC26HqGIOHxU29oCK0jNQkwrBdhhraHe8B91l8MlXTb0p/wangZ71N8iNF
GxOnrJqeswRq8Y60ZqKE/GHmAsHSPfnnpRojTNMOJD68j/oz8VpRbg0N99vYRsl957rVZx/ANvOd
Ee/poLs7r7MF7nwEROlGQt4C/11OrG7dSHon6UeiA7frT+pcty1zWgJ7sSAMo+yuQXXhcKWsuncc
F46BGaoCAxDk79mZllswYUQzYKcPXS7UWr5Ie7YLFGmY0jYUywHiZAzTFpNybumpUnDtdTCUr2m/
Go9U2QXp1wAUI9mJJDD5qRs9Sn7mzyApGcN04XXMfXtEx4KvGmH7PB34yd1fwxAipHatCIRcPct0
b6aApw/r6njVTkv60wEi+qxiF7UZ2uQjcwYeGRvDitr11I/xqe/lkl+WOSdrudbgTXY1ktpil3rw
CzYZYgbSH0jOuS+I9HbuZROULrl+VYHIypdOcUYGgfoX4T3IEQIdwK4FTOPnbSLK8DJVHaN6TB4c
bH2Oe7OYe0lGSO+WV7ZPlbinV+PhBuPvwa6Uxn5PSRNvN6ldjk9ej85xm9SGt8KmceedM6V1ntGh
AZsqAkoKHFoMBtMERAQtuL9HsdFRrkZTi0+/LbG2qj507ghRsR0GEoLSSs9+WaCk8vgVWt7KYetr
izYQ5wnPu63i5A/R0Y6/R3pV3Tr8ku5OD2w5VQfbdjuZtn7v5Oh2SDlX8GNEZtQT81z1KyUa5n12
mmSCP+IWP5zvYO4lzt0fCwxUJo7VZDNcD0ir1/003CleP9JGK1C9YiabeteFDFfOdkpsADmJFj9h
UDo5Sti6AB6fxRh6MM4iDSLqT35EwwrcAHCC2iHu+dMlYrKTYzBKaHopJgc6gyoEDeZ6UcWke3YB
cqia6pW0tfKaHeasd6Hneei3Gn41g/39OPYtojvsoqB2Azd2IRpodLa0GFF/tmHljEccfO50tOVS
cGO0CduVoRowh9QjSS3bcoB+AL+eoxFHzFKgCSyd5q4KQ848LmGSw8tqig40OGV1DWxgvO68RdEn
Bn2w/PS9sv6NCFV2WEU8Z75I+qPpoUuqmPIUEBxJx/DNwIGounkZ+4AMgAYtbH6arUwNj99brLkU
ZXm2lxQBZsUS7KPuxvB2yBQchG5yVEX37sRsbUMdPxHO7jin9fDc+7xswcZKTPgD5B3kwTJX/SNq
yRoHJHpyQkPC+E8XIv1x65iark5B5CRo0TjyAQ/9kBIw2a41rYsPMod/sa0brroNEN3xOmqcED11
V4VHaSmG/D1TfozfncPNgIob8XlcVdeRcKrokquw9D8NMOT5Pgv7Jr5tfchmG0kwWX9tTwNZ8z2D
EufS5UFGQtfQs0qkf3YR04R9tOyIG9Ydf6Cy/WprK+5Zn1n5D+029nwZgTpGb87iL6R+OfDaz24n
2v6XDYd4+eFEa3WgBGQBkCZDGOwVM4rmyYuymaQR8C9a9KHZ+hgvycQZ3XSlEjH3GUCjJrT9ECTP
IZ8S7eWoTU70ZMBN8eEtSQqjbhrb0twzlc+6B0iEzssCgjzYdw3ZwDCCuhj+QCONvEOdBl+dMA/M
DPYlr4TzSLpHfiBvXrwGRb78juFm3hAAKmh/pby0aby8erLGn1R33WMQI6PRM1R7CSbl6Pa+OuWU
S3eNA+DX0cKG+xAtwTXFHN/J0bbZsZUNnjzX73/nZRDz+ISYhuwkae7ZYxd/hG6Hr25BOcxbNUe7
pRiaR7w9WXgZTakuvgZ8ucOyg0AK2kW4HeNofg3sKT11gPN6J+wBvyRL8D55IdksNnQ/i9J3F/Q8
CkGeNLvMiuWfMi0VGEs3cG6GOevPBE3bd4kHFotIAklrC+sUdHNRk0eR1jh9OQzkibYK6CSjkvpD
J9rnADejRdgbUi3uoSb55S5edrKKiQkA5PCL73oAV1BvbH1hhUgugW/GUx7cJuEaczL3vdrC9YxQ
AU3Ss1iEROJYFsnylKQWCXtxV2ETiBHy3ajFm05EvkEk6tF9403MEYqnIF4DomnIeYYEv3LLC+aG
rKJYeg/Zde85KMpyxijkMSJsDgFcju1hCJsw32MITu4W5q3ouDTY10bGc7XxhB4w2TRR+bTIIvli
l81hJwY6tqS07Qz7G7jhLd4w6IoDIvfN7OXenrq2uhp77Xa7Jgek2RSG/CQe5W2GG+M8hwRkZ0oZ
sPYwtkxjWlKpl/gs6oLlmIhepWK4dZ4lUTXbQNS13C/Z2L7Oo/hSqZfBLxleAimImBnqfD8z0YJM
paBG6gTVsgUv6bHuR7kL8JWT0xiw7mujTl71EyIJH9LQczJ76tdcYOISSCzuGaby4C9jUx3gt9i7
SRJtkYVxCgENtfiy5UfD6RLWTgSG0PZcVI/WeAh87de7sISY9VG6nXXF4o1wnhYJppWl7TFZRsTP
uBENYC6CiTcj3fE2n+STPanyGiUJAkg0aKTpskkkeLOHgFjQ6N97hgCIjZZjjU8Z3TANcvGDjUO5
QwbsMGSrYEiRnkOImEcI7iWrTP0+pQO3GLCS+mXUKrhNl2x+CzV2rxCq8Eo6EHhKrJGJbs+VSi4C
Aws3t9PkYHDLsUsui4u0uMnnyvHjQ2wTeTFa+os0xYHwPt1jE0AitP0fyYjr1MsjcuUIyuo2xoMk
zcce4MtKgQmYOKqvspShVOdk8bZQJDb839Ud/6zNQdqhXKyRYYAiAV+9765qpr9IO1rOS7vSqKC7
DKjsRrmuvCyRGX6P0mHfZpfBXYb3PPk3ypx/Fkl9f1uJngTpl42nJ5D/8m0rk04SriwL7QrZObDk
2Yt2BTNvjtRS0RwQlK7+zfcU9ir3+S85EN+VVBAIpUHAXsdGIf8vgpu288O+LNg+94O3TjOz2mYP
ZXN4ISqUfXtIptE8T1HPEldQUyOGUNmJpT8d35D7S79PZt/+mAtk7zRQqU3zGnSTfpVOLy1cj0zM
QdPDYpcfrJupoeHFZF9lXqDvrQeFSkUSF8sMOhP9b7yrrIAMQGTBzYyW9iRJF3/IGGtY26ZY3NtB
aPOi6HJHDD+UtQ/wCgQyIBuT0SkxJdmWfTbO8z4fo6DZiV6ynkP/KpoP0GCrgoSIM05RXjpGZaEt
nsPUsEFtst4629GcW2yVxkZv8VgtZ+lW/uOEiJ9Xi17hY5xG7rpkghGWUFodXIviksRwz8WcElsL
ZaFVrn5VZCn+rk1gVJ5Vag/Jbu6q+ewDBwhha0imH4h89JXI/Ya9Cf31KzrDptppWVt/ykql1BrT
RPAGG6v0DboCWO40G6AWepGYfxcK/uzWaieDaHyYOnufDRPCgCZZ/F2vmUTTaNarBprpGO7UzDXN
GdU+oXgthtkQnlXbXuBGc82oZYSRPKkWwUsc1HO+0zps6ccsgoxjMplxivuui93R783AsCHBXpOJ
POT4RjYjCRM37ZWHTj88gNBezjqc7en4/U7+g0L6D2UYWNJ/kYH+9V//5/+fjFROp/+zCvVJ/0qr
v4pQgQX8pwrV+xuaS+hg/4k1cP9LhSrU30SwvvkebC1iigXyw3+oUAEbBOwDkZmEAQrFlV7w37oa
Jv9//Hcn+BvqTU4LziaBXkn8P6lQxT8r6JjCYshxJR1biBw1QJD6z8fsqEwbE5uy0rmGtbSOLdBg
gVX57tbo0j/ScGG2DEfAfxvEYJPZTbySBgf5TIXcI2xD1UlVY9aY6bDde0UJhciUqWr3jM7pY3G+
RiDhbABd3KSEMDz+5bP+36kV+d3/6fjkl3A9F8GWFwjHQdPr/MsvgewMXGMxfBkp1PDANyUcjl1j
zz3fhx2Yu3JZrYPzjBbQclm3oFxjVe14f6IQz/JbVGGqOvpt6Rr2efTvrzEkTmKYnBX7nGP6RuXi
uuaXQW+MrB6TOq+wO9fgqnWAaX8opPEPIl2c9klbJKRlHsr2e8LqhAvLPfUHhgkeUYXLENHnTezj
Ybz5DXMNMnf8chsWqxspAwcP1H+BzIVRs7m3nCRU7FGARO7sJkOSkuARZsmaQdXbNZG2XhIfz942
LtMIrzFV1ZdbdYkL0srJmttUpM2boucVl36aGZImmJ+3/kgfu2EQVwPLxOpKDKRJFyLWkZkUO11b
NiFeXXIdtbGHJL4a58fR1tzB7qTnN8vhbtpN3WCsp6VBs3fIEMP4V/M0YsYEHp4+p8xp97FfpGzu
q3jm5FJUkLvWAmlAKPTUTO/819xzRk/D+JyEtW89hLCczKGNJNlIrGftx6xshLwZ0hgjJbkWbL6H
JeRCbLqoeett4ayDko4pWYKV8JNWKQqeErZZJeYGqZeTMjZ80IzL4k1WaQGFVc0ixg4VJ8u9cUWD
ewn9Esq/RsDxXlIRQrLtRXIlx6HHxETi0m1ss4p8DJZmSHdRlvJb9Jmj32rK//DM5eY8YA2mJqyB
T12xHFjA9Q5DQpcQsqTlToLpcdsnLrypaOw8QB5x2JR7Vw42V4G/amxdhDNXgdPgpibkV/00NOrh
jtTBCLiXNMlrQjZ0sCk8TeUtIRl3RLxB/adKqMrmbUzL7KvWCTHNZKjG4rMmiek+wA2UMWeorQk6
WOX9Eg0hClfKkWN0YMhSkj9HWzrvu85kza7lnUr2di3j5EXLfPxw6szgdHTsnjepIBUMdHqEgVhG
EaEsMNH4YthD+WJk1XaMsdu54r0nZJlulNQDn+cCDp8fXeqp4QChY1fi8D22IHLGFswnxsF6Krxe
eWdlCV62XqiFi60s+aJsGqns0NZN98RH5LOHtGx9Ffu+XcH9ZDvwJbSsuul9qteBY2LNQNcxirrk
++GHrtkse7lbIFClt56sljs4rWvggTIJwx9TUrO1w9U48Y2XcNJvClq9cwcjaIgOf39cEX9F8qcR
hu9bWug5tn9/6NoxKcOD0uhcd07HwP86oWnn7fBp2LZZp34FXjzInfetGm5XAbHDeMU/V96IwhcE
l7vVkm6dz8RNYdzO3hvr4vxarrJkX4yAAEkf8z4ma2SSVkX1Z7bKmZ1V2JysEmdmHPJs1jrd/y7Z
Y0X1HpfVV2ymdrd8l/b+WuUH4FcRQn43ANl3MzB8NwaLLcd9lUU2lirs7BK98z5be4lp7SpqCu+X
kCye9TqI63diSpD6zeyNt+BOaUvM2qGYKip37dq1wLelf1k7GfajNDUY5LJ797vVwTzjwjpbG6Bp
DpIX+K9PKpngmNSkcsRbzx6guypnNGYX8hXoUGKs6Xw+HZ2GoRoXsAbIK3O+27Puu1Wj5qFtm9cO
TotgfsxrIDY7Z23zfFHS8CnN32BtAs3aDnZrYzivLaL67hb12jiCCk0fWa7RTfprY7msLWbMbmyv
1rYzLPqXnCHC7ezMX7hI21cYkGuX+t2x+t/d61DW0SvDzSeztPG5X5tcfvtiNyhj3qa1BSZkIjrn
IQN+vTbIem2Vh++uOVgbaIpKOILfXbU1Id2tv3ttQcwUG4fvHpzsQlbka2Nu6rl84sQuY6TeIDw2
2drEQ4Smn9draz9+d/lj07QHGbMY4bxY5wAJd4KzpYPKrpfQwyZITrL5rb6HCMv3QAGNWQRRADO8
KCvnnfFwTQSXFTQf6fdUIors+akZG/9op3Fjgeh0kHgE39OM0MMzBSbCv12KIoeCVyp4L665LlkJ
b5k4EjKKce9UAFd+H+aq30JeNSXTynWcEttMVrgaEXLkDQ5zmJA9uS7MYGLIy2ySVOU5V0wdGdOA
dEYaxGiQxAnsacOnhR74D0CHL6JH25u4YOjTr+OfeR0EKTsP3i01jcQ0dvqjr8YVRj6jSsPUjPo5
DkC9YkqUfKuciMbse+Rkr9Mnb51DMdpmJIUdVf9B0d59ISFr7jnhG9YLvHu39Kv9byH64Mkwrty1
3wOvep19mcpb9K4tnGLrRo56YOUU/CrbuXnAypo+cmCWewwRy2suRnnpVSI4bTR68XX+1q2TOEPF
BXKn6x/kaqUGBYRKxwZuWfo6Ht56PI+cH0HYdrcl5tfnpdQrwiNXaznWtXqAGyBl+FZTVNIbFFaW
7LNcVDnyj1Yx+8+G+SapI/8Nrykvu7Mg/F1ctvh78kUcEgNJe/iit/NgFo66+6Fan7uf44CcypSJ
I/dJhFAnSXvnUCW0ehgsPS5j6CRsbCq/coMDkpOJnTwxsq+5z2CVKPdluHiyGgLCHcLiiDJfEf0Y
DGhb6qbu7Ye5Vh0LlJJpXRbXVwu4RVDqOH/8bUGq7HJMRCBQMjozK8uQYoyBx8TfQL0MIVFbG4Uz
CsNfEdSrSIMYo59Oww+9nWwcg7tSTvS4kePFBaLZAcQjRRDILo+Xi90kY65dHVW4vwODSHRUMXjh
uJjDAS2CQ94VRoTDOBHusU30AOKjnTVnt7AC+m0b6SFCxY74IBpHw0QyavHYQgHxrccxSEW3qxn7
xkSOtqzMSl8g/2PWLd6NG8zTvaFTYwftefqIW8q3uAPswUa/MjQJHKpBm3tUwuhoRISgj/d/dnpY
xwalkMNxnl+HWdj9TGdPP3Ajq4Go27FeA4ZdotitIuXmIktKf5L/LeExsV5zjvmEpvoQTC4TnwIL
0MnNILweswExgUc8qd4OC1IfKNsSvTkoaapWBtY+9MjGY32XhsNwL8egpPNFRcDaLw9JozWh2jsU
eB2JXqN9mte+g8MEms0c6XXpmU/ZySXg5PHvCyJPe/KL4ujWLzPR8Bk6TXAlXAxixJksLHlC7LcT
jySA+oMVTdmFGE/3UpI+BQYc3SJ5cTEe20uNeLvdY3ZgzhBaIxp/NGbNW6DjSG085n63qyWIzOep
fvAiTALY9+0Q4Z22KTqmwZ3Yf5I/vpIzQZFvFcQlruH/xdyZLcepbN36idgBJAnJbbUq9bJkWfYN
IdsSfU/SPf350Drxb1fJvxTr5sS52Wt3NlUUZM6cc4xvcHTbcp6hWJ8pA56bIuzucRQtOse2Sa8a
S7svTITBWBlACZkCky43Jq5xnWZ59QO4ItSlJMr480h8XIAncILzFbmaCTxZ2pp0t6Ang/2cY3da
Ra3kIS2KkgP+wFwXcn4OpmGXm3NN6p0XQlHXszQuzSJRRMZpaVjnHHwgqQKbiB99JKRycYCopyEn
vDuWzkS7MIrVYy1MzMdzy9qz7ly/OiR9BJOuIpAIQghT/nUDM4fzhSjtR8WwGBLPyP2fRCeX+XTi
XbqM7ZptaGrnq+jS8jvZmKgLOz/54cTguFeIr0aw3VZ9p+qSgWtQR4Fz0ChoDoUt2gFggVmkcLOY
SwYIi9sVmCD+XJRZo32JkuQxCYUC8EbiIcnw81CiM1EDRBMETQje+yAYJEqm4FXIIb5guDIe2P/V
AWZgd+mDBQHZahAMsMGdP4uN9g3oeFR/yP1nW8zfIquZH7U1aYeYaj3fe33jtdvIZwabyTT+bQtc
3UvUAvpWxRMG/sCx1rSN4MFajbDXpdO3Z40dNveU3/3K4PVHYTLEZxVa15TZapisuPHplW+rEq0z
1qnK86IDsszf0u2IakW1cOClQ+2CcQUIS2MSCyw7wz2LYkIlDVVFd04sk5fGyZ1XjTfwS0686g9/
JGA+nAJQBuyvG9tD4bZGD6fQl5ARcOvy+r4EwwjkqOLI8tQx2anWJdpRgVp6yOj3N5P33WpK0W/c
FpaDsdx6BSWI/1yqerrpiQJe2xEJy/CDltAvGKSrbOxxeIgCC1FvO8U5QP1lHItWd+JMqTLP66BZ
hwbxX+Z4a1J57BO/+RZ7XvjVMmz3wm6gWcemsM/mfDyj0T7dOEZtP8lqAGOT10N0YWFDEVuKk2bv
TnZxaxuiaVY87YzYR2fUyB6zdhdNVv91zCxv74UU8LUpdiUTwZu2s9HPBq3wwch5v8vRQruRBhFG
tNmf8wsFN/ms62fekSDUaDn8GLJQjK3xwO7zgnc7/O0adU9OgAXhj0UVKGtpuJdm4jXk/aIAAHck
E1qhHVzYL6yS2VXO6HyLAttniah4OtnrfVx9Qvj+bpgS9wkKFBPgNkxQy1uUtqZQ65yD37pO+uY2
jxFsRmLor2AhvsiOP9VjqDk0rsgunMRgfhq4a5QAuYOQyshfFBPwbezhz/Cz1p2p8MDC7pIm7+US
SdhdOwzo7oogAOsK8A2oYxgSHoNseGVgAvBQdIYmgIuuJkoDqqzYZWh+Uce1GfRzUvTOzS7o7+y2
eJ7DajynvOjO0sltLjPtoaISygGt0GaPfR719ZYuZczezEb/bUhGUhEJwaC8gNC3bpQfD2QTxzxL
PJ+HoGqQm2KY9386BYymojU7fnwBsqtqoqy7QEAFW3mIa9Nnnpf0r1lDDI1nUdWwTuLnWjUVst7B
cKef3uBkNy0KO00gquxvW8/gJYrsmeWeMV3z2xwjoojNtJspZjvxrek4EzqNtoo9dgNC89JCYYOg
6uDtncLSoFHMAYXHmLRvr3FCQEFjrO8RqhoHBl/YnSJTBmuBkm1gR4RBXIkicrYtvrtdTTKpU5P+
VRBxus4Lq9shZEvc3WgYP8zR9PZ2j/LbSpLxgj51eBg5fyBpMaotNQp7a5N0ULZSsAr1FHE2sLpi
Oms8YX0F/hNnULZcmW7djs88upb1rSKOrFsz4yLSDcLmbTiW9Q8ZFi4Kk7QtH6YxeGjasLvJRtdr
DkNj8OJgfdDJQ1P0uSSpQxOMrdFK38ZObwQ3k+zVukfv+1iYJHIo1xzQOgNy3o3YZV1OK+aESizJ
vlAP4qYZhF1DuJLNz1QWzbNOw4aOWd3/GocOzrAW83aKjYxgtczZU3kaCmvL4JyPfV0xP+mNazbA
+qe28JlFkLOZ2vUlRzCYOlc2R/9yb9AtPAwIdg8lh6S7HMq952Vq3njhlP2c466a1my9/sGK8otU
qAnnYhCdWbhHDiNkrjNUaWx/FOuw2lytXprBREcBKlbJTbc47Na9ayDNHE13vvPmXj9h7pvOSm23
3e2E+m9XRh2cLs5biSpIRUnz7DafooPm2+61oXnR0S7pFwc/ljyf4bGamA6wmW5rNLJo72T9pPLu
ukoAQ5b0b9ej8OKnOCzML02zEEPn1KaBZsbffQIlzoxQ0y/0jPsycEbGpkA7zqiZiajuhEG1zTmZ
CQL+gctez+mB42SxF4RG/DDy2NqkoYiuEn6lrkQDv+ncoEdAPsviQK+nw0hmTwcdOcaXNmEnouaR
vAriCyo2fU7TLyQI0Gh2jYFmGMDLdFnGnhFtQZSjBfVxxGBNVMhp1p7UAAob3/pOboh5NgBPCbYa
0+WFX/Yjvbmq+OFFghoum14t9FTYwLL40c4E2EEjiFFIyeR89KPmCnOfe40V4uuMKXaNq+e3h3v2
QbYtb1CbIwvNsEQ5w9g+dk4RxZf4zLvH1pHGeV2o7rsqTOy/UqSlfZtQR4w/CqkIDe+9xf7cBTrR
G85DLu2uIQ7R7WBM4TvS6sMaG885zVQvY+fZRGbdPnho5foVPoABDs/SCQqc2Kz3kQDau6qRb6G6
60rTIObIML8CbyRju4/QBIVR71wYhcn/gYO9e4s2OscIEWEldAumTcxoSCHBshDSHug5jJB4VDFu
uuhgc6EFjCiqkMGlQ7yVozVWDKq1j3Cna1hmRsfj0MVvqmg+RXnaf+Kd/1vHHDSDpKDECcAQ4Ljt
T/BIMBA1+8IIdDpXuTbl2TQ7UbqeEA6vnVIHJQ39Zrr2UoTDHzfs340cBLBoW7jAF1zTUwwwjia7
yu3b2irnZ1XiOIl9offhZBGDQdN1E1u1PsOopb8YQepgG9eGufv48u9HHspjxyIUViwbl+ucfPfI
kxHRknSSZ9OKoi1qf48GIvKy6RfUWdk/VG8gg8j0+QlGxvc/E3hmLSp1upukH0HdRJHR1skGkeCY
HgKN3fdCl2Fg72VkIxFz0kWTWs5MmBfDrzAuP/kKx/NiBh4LMgJ6hVK+5B/OycDDQHlOMxt+lW0F
qbuPmog+uFEUNspRAL32tkPQnlEqpcx0okIxjMFztoxqjHF4dNo0z/dzY4z9xnqb2hg12a+3//5D
KugakqqHZ4zPefw7EymhpRcwoXZxpfT7QBjkpeSgi/YeG/ddFw3xi49lAhpzOnOT36ZIfulzkLPr
EM1glIQk944eqjjah3L2P3kJlqncH2N3iRBcACYhIVBZSL/RSBx/QhrbURWgYEG0nPn9l39eutZu
AQ1Yi+TnmnVDkr8c069HiQnp4hCOLfxqv4jGEYv31EH6akeyKjdZDbiefy94UrAUWDij4lrAVuwG
lFJXH99bcULo4JMT7gPKBX6MNB3bPAFfVAl6QX9BENrALJwzkU4kdGdhXfVbY+LFfs4R2WZoOyIn
vQptwsNhnNhRck14SxldAKcLJRGeVcAcC/RXtmME1oYb5LmkNSGMZdFMlmkQnYBIrgfCmBY1HvJm
v8lcptVtAtgKX3w/LgJEjEceroa9ocqcdCxegVdOTMkXYQp6rSg5aemOszKeq2hQw92AsPTBH4XM
VqLrqvKTt8M+1nAsPyuTfWiigFV8/p08ecHRk1nkWNH9Ipt9jK6NWHG00V08B+uYmqncgnRxxFXb
ABfYNnGM7mEGnpee/6OBwF3r3dD9bzE5FYxokVxIpzpjEU1JEHcnyA65a+JGY7JrLwoozehG5SF/
jT2in6VCKkx/2KhGJ+q5wnw8H+i6JE80+M3p4eMn4XgxRTnioo1Hn7E8DKbzj7LkD5nMf3U6+SLB
oYIO1+kiy8nNvDp3F6lOiAOIWmIR8ExvWp6PP8BbkuaRdoWbjG5XmsKHwO+/DWf/+ARzNMqpQH64
Qo/Y4r8KLYciclb0FP4Z6XCbPedAXGD0RFR9R4ArYlVWVkJhfsmIiI91VsnY2dg0Z5ElZ/QqdznG
nh9FwibI6TMIDkY/BPUWQIyzlzolYarmsItSX2LTBLZsB8YWDLqb7z/5cqe3lwk76Eq1uBOAqiAA
PV4hZOSGJkHfvzmZ1CSsdQXxLW+ybzoE0NdGm2CO2PLEeYDa8LkyC9qJntekwdYEZSnwYRaA4krT
9W8mOqMb5IfJvT2O3cRMyZL3vp5ghOmCNQXNJchapjdFszHNAdzsqAjMni3a5gpMM4qQAt8WvTwJ
1Zeo7C9OwGFo/fE3XkQHf6yJns03RjLo2jC3WbSRLRx/48xA0S/L7Hf3JuQXTD04Q5Tt0jtDlQCX
kNZTv+MZK68yMorivSzpu1KTc6zpahGNn+jATob7ywcCQoQey2a879rCOykXcodkPErQZSFlOz/A
Uzbuk8QvPLAYVlBvRvyVX/u6t5jkdlkQbwc5qeDSB84W023qWr0aGFTDfQml/1pEKsHDm5vutSdS
Ye10leavTYxj4UJWdX6FG6HO7k0imThfLQNOFprqu1218kFq+vWrCV0kp93lvzV6WdGsN3sDMntI
FPImNFSa7fCN8oCX6IxXZt9yfJNtiTFOVjnFInLqtiKnoQ1IAsPKEe8RXLc80X1Bty6jKI/4Kwdn
WuesIt2TX5T8ZdnbBNLOHRGeFZ6uz4TrwG9n7M9BEpdzsC0VJ1rGnCCbtmilQP0XXu47h2JKeFO0
YacEAlXW19af6AjLkrMP6FuI86s+9wlrw4IKMRxz0FZ0OeWrxDENAYq7C4fG0oyb3p60/2diov8P
YXUuL9P/LhPavBT5c5P+KRRa/sA/tDpL/sdiLMP6ieZRsnOxaf2Tf6L+Q5HMlu2wnyH0Jerkf2RC
0vuPB84NRo7tUQ/wj/+RCUnnP/x1aKIdiu2F5fWv8k+Oyw2SnJXgylyJl5DC01qOE3+s8SUgrzGJ
QTYOJfRURo2oIbqq5rBfl2d/3JO/yHmOV9y3Syn2U65i4rkU6mTFTWMvILKcpr+NrG/F5exdPLUp
aSM9k3YzJNcQFevXhEipfcX09PDx5cVxaf3P9T0hEZ9KVFvc9eOvqnHqgXidgTw4aRjdAphlpDGq
WMHEYGlYGXHe0x2lY5NgBnPxcEVRaN17ovd+hYkX3NrQxjxGgBPDhCSVWAJmQjbrHVHBuUXwdAKS
y7OS4ZWhKkGvBfw/JmH0zRDIZDn9uB7I6Cpq6uJ1DHC0srslnrUKMbE/8PyocN2QhvczXED7fS/t
r2ZrFFd+PxkdQ60s+vrxDbFOquT/e0ccNkBHLr+Iuzwcf/z4U2UCjkA2Dz1+wWNqqp7nopfAjKZK
5vnKSFznm0nQ6DPNSbrTrNYx0uayMnGZkSHxe8ZoYjMHCeTOQKfiwhUKq18tZ14Qmj3KIlrZCRKB
LAwldORci1+MBKS1D2XaPQQwUDmrJ1n2U+qoznYArJrxTFE4Po1aiRJiejB9kTWd91WDumCBDRqI
KWH4dL8SPY0PmDraHL67Ow2k5OnoGrFmbZ+3DsXtTUTDIN2hJ87bg1kzouQLcRRZscW6i9oN5BYy
Vp/5TNM4UbOJsJR6COwLDB6ZifuocCeLdr8Gu3g1q9IzNoCL1A8YvSo9K71oqLb4Cq15h7fa8zhx
YYLY4GXv7l3phOGtKJLRhmuromev8Wz3zC5tSZqXN+bYqZhRQJFpi7nepl2A14+dqMULjR2H8X6D
xQQge4y9YXZmCXp/7h10xKLwNX7jfjTrTTcPqbik3cekuyUXl1xavKVfYtePza2H0tza2DocFgl7
1nhnsTX69i++sCuZ2vmuuaZUCOO7FATMcBWEBD/v5lhV8Q4prJXtMp6KfJ0iH86giIgs2wR92nIE
rWy/uEngWqarMk/sbiOjIRObDNrSje0Wc7kRmTdg6iDjEnd/0LfBT9C7UbxzINxBcx5b3GyJUcPa
nwffobJKYZuQKUGtu/HZu6qto2FzsOeN8c6cFIqcjx/+vy1G6KIUFZxrWiBBjx/9NgFl25sYyUOm
pvsFe7dpXdrwqWX3+MGGDtoLHINdT9wnnHsdvH58/eOTzNurxwmGusoEYwp97+Qkw+kyJLwH3XOV
hFT3Telc2K2OUVXk1r60/OSTo9MJ+fGfCyKS9GwFoJKW6Eljwa1hT1eWQ85KgfO/c7CINrDkLuKm
VM+6Hhtm6LMD4nek+1H3hHPUlfhZMpWdduNkucT2BdmOGaW4EEYCIvfj+2Etq/9/DxvL56NfpRwM
sh5NBUecVKcM2v2xrrOOSV8A6tKfJKPnxNkOJtbqJYLAwlI7Rme0uz0fW7yNgr2jcw1sq9u3NJM+
2a3e7xbs1egJHZpZPuSkk42xMPDsWHhX16AWSN7qoRH7i8M8/6wsX37p4y8uqQ8c9iPfcxSNu+Mn
0apSOZgKoUBUDv0t4m8I6yxnYMhzh3wmYywxmY2JdKFBNRECq3mK2aodF7fjytJDMm1gEQ00u+el
6HWbmqhCCOh7cJ0IuaCRgcD5+Md6//DS3Gbm5VG0C5Mi5PgjKzpCXh8sH7mfq5+WALkTjEG+i70i
uo9nw/mnoPzfsaXLj//fe+SZTOMVFidwrrhHeGdO3lbDS0sdGksPDDf9Yx3ABl7FjTuA+AoZCLv1
UET73MrCG9hU6eMwNALHTg3j/uMvfvxQULdQueC6Ws6N5MW9lXJ/bph03yurItpl7ZBxc5cpZXMM
SD87+Z+wdf+5jOX7UpoKNTivxvH9tYahcvBb1euShb9YWSge7vM6d7/EOpt+aacKdgiC5q95lfWX
QVjYNGFQDiDwSFw4lYalSusMeeZzqOci/uRNPV45lw+HbYOy0bFtRX/NP1lIKmCmLUILJjxDznwL
HvaW6W20L9IeyFaaAJJBg0XzLbowp769//gX+NvVLRhSpnSxeHjOSREZN3YbApbHP4LFP9winBtw
kMaMhqcobDfzWBowNOxhacmbett48/Dj409w/L7+8/1t2zZ59Fm46Ysc/zjKMyOKPJ4BcmiKed0h
EUCKmixt4QqCXZBk8ZmN+Xr78WVPFsjluvQDSYr1JaskLeKTHUPUJcxghutrJxGLc5PW4Vf6gpRG
vQjTK2o1j8y50rqRuZvIdTFGw7iLJSqSTSmzudrR2YrGT7bR45Xg7UPRHVvOLqApUC+frNo8I6bI
EGQuCSkkRBEHyiRq1I9O5swXfdSobx/fheXJ/3Mh4CYw3bKwUy01vDit4cUIW9pg7kmkivA3qWHI
bWqlGSF3qrvPK4y4FiGiu6D03U/u//tXf7myWLqOXNn2TpYg7I4F6Xucr2vwzqhMg3QbeGP2ycp6
sk2/3dBlcsEi53NfpXVyQwdfupmsm57OWZSfhWR1X4mGiKGaUfeDzrxm2et+6tbydk7ekl0cI8jw
u9C8IljKP2/zMj0kjVM8y16qT9498OXvb//SMGMBwPTlI+49fvb1MkudfBfpbQWVohZEPhl0OJAx
ZlCUNDcGOBqMgBkOrqOvJWIKH9w+VOK9QpGbAq5I0ouy8WSzgv2tTJQVDdubmAO3RmfUub9yu+zi
dctgk3i6kMDkTZRa0ZMbSR+SeEv5XAVVtufBn2+d0P+WhGQ4Ygezgm1qKACoGlwK26jMlmiJTL8i
C4+eHGNswMd2GKu3pqyWhMcWfc2uwPjwy4hQNG27QdmHQWMc38x5R/s7wPu9aQpXsqSR64siYDBv
jMpCZppHbg/LGeY0futezUsOsIUCErFFfGMbQwKZtrIIJyxRuR2omatyZfs2oBuVVvJ+KP0hWOuB
KLtV4wRwkotp6g3oDW5fULjnotkXsdW159DBul0eE7e4oXxWr7DMiO5iJu9/dS0YYquag9u4QSkH
Qkp2dfNiBxFhkUKSJkkamhGf08Glmg6NYt5kve4eRinKJ7pp7QvAi3pej5Ck5Ua2TfIS4W4ODjyb
hD6JFtk1iQ4jlgHl4JebqYgeTCfMx507+1lzxos/KGLQgzTcJYpGLeAya7opdGa9aDWOPxVDuGsO
x73AONL5j3g6Uo4AcetcabJzOBYzuFjG4OCZKEZtqKM58FmSWLo8JY9nNDtEEkTBQcEOWcNWKIv4
ZOwMtbrOkGk+5ZnrTxsblSjiNzMixp0hcUPnEHvNfnY9wG0lbrvNaBXTTLaKRLHWZN6MylMTUDZw
jvs9Qc97dKDCmQvEhHTGurVQVw5MgNZphQNlXUuo3ghu2+RRQYx/RkvpowwC7/Tdpi79zTGCrCFt
5fOrm3rhU5RGXbFJTWa/hymbJCwnoxAPjZHW+EsG8w7kk39nZANDbZP+73leJmG1SgvuOUlgkFbp
HczjNeImnAAkf03ege/l/cKQkuEtzD0QTzaDjnPJMDzYc2bh9I4CTDNfq2TYk9mKC2VjuK2y9+2I
ZmjXcxJqGTiTcL7pu5SxMyPOkoMn6d8EPEYVMcqTIfgaWpnxuXDTBrwxE0eezaB2gOkEEcdSyI/1
M3OPbhFeLNA8OgI2D2RVmmTHV2P9ClA7YgAsMFLLcdZqPcWpglho6rJahT0tKO4kJKFt2oZanU+N
62SkMqbGoZ9sxIAI48k/7Njnfy5AMWLX5tqtzvnm1XitSfew9mk0UXhpQQTEpqnGBIxsYAXkuMyC
szvgZ2rovVMhOFhReVeQ6zsXuLpG717syYpBaZ4abYhWyi6RcUJLt584sA/4CEh4vU55WMGmmp2b
n9lub3Yb1Eb4noLZDGwgjEo8+DrHzckQ1r8u+Y3UhnO0WWHYrSS0SD/uLmuw2i0xvkWP1iAh0RaH
dmg/QY5hKFlLrN2cpRL3cWgzG6Feh+1onRVB8uSIrIRpYyhtHCDneT8qODEBjvbS+jUiNbyDIdOS
LmRMnrs3YgPlpj0FxUUD7QgIJKkLX0q3QWOEtoJXKeuE/x3hnXpFjBY85Ui38IFmermv5OjgdfPb
B+xzNp97Roa0tUYDdrVEXgHG2VPGdwsoBJAiZMAUN5EUtyFuOJT+SSQJTiek+Yoo0Ept3Zlbs5VV
5q3JGKxpIlS988WXOEMWNz85QVSkdYSpVQ/30GV84GYAGaetMyUaarwtMcuGc59fxrElQfapDooP
39u8EKTS3/ZjTPfeHICKV5kAkJ12jaSNk0VhCWuti9E/IaFE1yMr4wyOcA9OEHXVdVUmADPoAoVn
Fkh7sk3bJPwtLRTj6zEdzfOYJ4LI16yxnCtrcjhW4dmG2+FBCjB2qnMptNqMmTyOyfnOGOzixZxF
8o2/wXltDWQzm2Ssi+8qbwbsGXMax3gQYjSqoYjBvDFXLDcmA6diJSJzcQYRB/9lcGQkLsYeuqkW
tihulF11AZorQasQPY77ZQzq6RG6U++tOdaP33p0uNX51PKwnDmtnsgZ6xvYKarj4L9pqynLSBuZ
XfoxDkKPFeeI+ZWV07r2E3SsiLAVU2vdRwswIRFdg03PdA96GD0KqqYOShx2ZQaLERFQiqBQhlVq
3wAY0MNlBDLoNgPs525mq3R7MJtZm6+bZqzxXhVV/gNIkEdIZZahbABfPBsAK63GmfZk7ebiyqqJ
eQRujwN9E4K5MrbCnvHxTRGgQNALVYA/y9Q9IhVA0qwbcEvPeXNcscl9t79LS6l3Vhq7j7U9GV+A
mczdgYDh9MoesYSiFoxMeqxCa7035nQLIcK4HHRQxWcOqMFlkPUFwDeID6IfcsDJ7RWUsfYlZ1j+
zaqH26bnrEVNc16FObK/jwvXE23KUtgh7ocdiG5iyZjxl0r6j14rNhbaiw0AcWmnWGCKDozUekC+
X66lbNJfaIM1qUVJMt8kNmNu1BFLYVCBcYX6ZdiInSdgtAaI4wG87+xF+kdTZaBruhqA24Y0krhY
IwAmxoNODZncn3yB4wbN2xegmOej0+U1F1vu8RdA+FDlyA/R7Ncm0GQlkn015b6/0VBufpse3Bsw
mthHrJTwiSU1ARLB+BCLkW5xD3hz/OyWvlmYj08DdCHID5eMB+3lEx5/pC7iqFAQqLNmJKjEeW82
yxswlOLZVS6dVwLa/IrMdSN+9CBWxeuqSWu1tjCxPEJ/1/F6UFZ/xxyOomoITfqlvMiuWtGTidVN
K6zoRdou6F1sYz0SiQgyEic8u8dI5jPUo9FiRL+RgSSAm6PBIUNe27wPoaiyn3VD3NQ5uRr1sI6l
Z5xpk99r1VuGQZZGPwX3Gg5yyeRlCh/A1ETPrRmMZK2HWrzSpTW/Z3NIfknq15oUhCIoSL0dnHLc
RPgUorUTKD/FfMoTdzYPnhVfuGHufs3iEZBqFIjme8T06F5YAJYQsUJCojcNcwCBuk1913VevXVo
rhsXBAM780aGmgRy18V4BqAzfY3hc7jkr1ILYFqggb4BwwD5pg1MRNQMun7AS5mf+2Qi1bApmxya
J4RQY2M7XUjbl9qO/GzhJRPrTEP5Ru1DxkMBfBI/bBlss1DX37TfWOEGPRE0GoISexN3mZ/9CIk5
pxBkXr01bNlbe+W16atLneacZbonCISikaVoJjoRjR/msnWcpEt6NDieG39xwK1oC2WXbGGqXddm
VbWbMY2YFnOMra6oTyVJbaUBkGLwiWb5pEvy/mDsIt1AoeIsQikOx8ePZhNaSptt0AO/VKR0gl/H
ZSzYCwpySqqicT+53vuTGb0IuqdI/hgWum+jnj+WF/COphxIo1jstLDPIYV8KyG57izgfOEn13rf
g5EM0bgG3UobyMDJa6cBI8YZjop1arVwHrHU0f+YqcArguLoaRdbuyOpME0S89otMJN9vBK9v7W4
8JikLuq4Resnjm+tNdmZGdDcXDeRP13PUUCmCZbsjau1uXMhGH3SCX7f8JFoE1AWAnITqIJOvm6F
vmlIW8qLYqzDJ1XhWS4sPe4UBctXslIHKsMgu/v4S/7tHismctIEISOdUyklYyFImj0pvq0fV5eZ
Pxrfktbsz2cIMCStGvoAfi34mvYAqAqO/v/+OztI/GySTmzXZ4k9vsdGEStaDxGXLxODFnjnbv1h
wCvikJfiRRZJCLAQDx9/Z/GXL80zbL81kxQYjJMtBjq+l0Hhadcia/vfBY+Agx6+YY8Z4qrodp1B
GsraYGQR7AuX/IVV4EfTc9TZgaAv08XFZq5s+LsjwZm72pLkqwfAd7DtIKVfk2LJqQS/+tDtUtwU
303RUhfbVfYwTwTqhhHhtiixgduUvrjyZV9am6LzOjKcvGZBQrQ99jtRqLFaTTkov0XTE24wcUCK
aGsoi5uQyWG7942yZQxnwlgfFkrvtuw8OJEf366/dKSAnCITQ+Fu8h6edImTvI9MjhO4tpsi+Ma+
n5IPnBXT+Ml1/tJz82i2eoq2L7hjcdL0AQGpuqQK9DruLHh9VLOcIyzX2uqyvAucgaWXMh6nht0M
n33H9++6u2h5XY8RALrud1230LelO0ZMS+3IAuw5DtvQISq68tV0bhCw8UmV85frOeguHFrbaC+d
06mP2Tfl7DSkeAehP1+zjdeojsAw3nS88VhBmMV8lsn2/mdkAIjq1wXWwr/ay0vxx8rtkYBjeqTo
rAdXNIutGykCzzNxtR8/Lu9fLto2YKiAzyw6j7cC9Y/rWBonEahWAsqnNr7lnU92OuTAF1qN8aRz
OhySQvxAX7LfitxIbj++/F82KOLnANLSwWQEeVo+mmYQzSZuLYa/ndppLfxbSxNdBIyufPr4Un/5
ESU9aQYo7FL0bJf//Y9vSm5XSD79wDf15uk+0qGNZCv0yq3yOfPIKG0f//0FFVNVvhxTKtQ5xxfM
OsM0mhLisEplsoOAmZ8FdA8eas+dLmt3SD65nr1sOSeFL4oiBHQMdJep4ckrWRaT27rm4srKOVQR
wV0AhsnR625qYor3FnlW8z4d9PRQAVkg8632nUcjTSaSzb0aUZ+bJlG1C2Svr9vRR9jgJaHTrJUc
9ZekMyQuWpKsstVEbAsQ87C1Pptn/OVxXNI7HRrJlCwIAY/vWa6j1poEjaWQDvB5o8f0hqRl+gC1
NAESyTA8HwdDbNsiEYcMfLD85H14v62zqDmoX1C4YjB/63X/8ZSEtNLw9GO78tqAkGWVw/Mxp+oV
YIdL+yAkGs1EjvHxk/KXl52V1EY6j5ZGgkg4/taVj0+pbfxuPdo8lDOTq3MRJfMnIvK/XQWlFUNa
3vVllnB8FSQNHQhuruKiBbxrqJCWdIbq4uPvchJ1+XYi9EBrop6lUkHPdbJd8155NFXyYU374get
5OYCdAVNcM4ah7jq4Gbjo72l/0vDvKunbRJH9nVfQP1JoRpDQ4N5aH7yq76d+U5eDYwnvP2c6NA1
Sfv4u/dz49eY0ZEoh9jglFNUZ2pKysfOIklmjQ3O3aoqwNZfJXHynYcAQJZNVtQn92a5zOnHYEFY
ihkTPY138kMXRJBFcU+Coa9rx0Ns6dhfMWfY9/UUtrBzm9b47qUwqum4jOOLarCF3WKutH5RO9vI
41JFAN7HH+ovT7xipIz2dymyOCcc35oWwWruiRYJiBE8QxSaoNm64tzsyZHDJFPsBzQPn9yI98XD
ojVhVET/jtHZqZ9FZYbK4DLptVPMySEMoDRYTuqv6A3Xa4+9AD5ob15Gfd/++tffFvQa26qgdOcT
nCwwITTuhsTGnvN1at5GTFdvDHsCETK44dkkm+5nhr3z+eOL2u/vsfIEcmaJlIN97vTVK2PI8PTI
ePXcslFrwprs7pq6Jq42Lfvrkh3QaVgTtb9kflAbamKH2tm6rO2i++aNyNEZWTig7SczspsdLUbl
oN/S2QjvsxggqCLjuUZ2Nt3pVDkvUSdZvgRxVu0qlKPczbWTo+ul4sU+NMQ22a5hO12Bp20/2Wff
b+kIHNjUTYQwvOqn7ReDjMaqVPQODY1duXHSbEth1cIVj8vDx/f13aXejpsetRnYPAf9xfGjC640
J+RPzevc7h7m2hj3QTNIumN4WD6+0rsHll2cpW2ZXDM2wUx2fKWYZJ3cGmhz0dGPN4NFZD1wq2Jt
GlaFt9MKNrWo2i/CLtrdx1d+L/vgYVXWogaTuJf4DMeXpj9A0MBCIvEBWd4XFoggMdEPJxmvPJvJ
3bwl3JBEhplRHoMUcd0mbXlnRbWz0l1IbnpSt9dtuSwfH3+yd/uJyyejd847vAiP3ZP9BLucQMhu
zetkdIOrSGliEsG1n398FfvtUHu0aFLhI4de9Mge/f9T/57E35bXJdmYBMhOage3DaQ66PLM3nqM
Z58IKiifzFEuqiw5NugRCwhO+wLIONwCWn5ksTOmJLs3ojWDKz5aAAup+lkm4AO2EbQgdQXjJii2
Q2qa9wY2p5tctV29kzBZyedIpnomLiEpQcNyPijXFv656OAQ8amhSIcdeGBkzEyc6DxF27HNwTJZ
vVZXflIHxLp5dLnxqUc0FCfspnpFHAWHU3xkNAvjVH9vLQvZp03cnLnGCqqbFTPF+QWUcuzCdcgi
86KJCMs+D+uUfvzQ6BbGCAez9jCkbv9/2DuT5biVbMv+yrOcIw19Y1avBkAgIhiMYE9K1ATGTuh7
wOHA19eCbuazS1IlVs5rkmY3JSoYaNyPn7P32rZve0U2AwFVyDgtWOuVTTMZY78fGYs6N6WLzXqz
xDwQP412su6h74lXy62Xap+UZeaRi2Y06Ay7DqM6609jbDm4MjDr0CRXG2zZwzMkQ/0HkyRixIQS
l5SWo6Qvb4myvRpKAOo+NypC7Izb783Cv702ntuUgYHdmi9pa+rEXw/t+JjjfP7JwFk/X6SOWlTp
8oaQSsiz1ZrNUp0YAGkZVuu8Kn2M8CoKHgMSC4M/QkxUTnm0xOcCJ4RA3zL6eLRIxlGrntORk9q2
siHeASd+bzbdbWXFnbpraoTHG0sMyFinoVoeKqLY7+vBhKjhyVVsAPZbusQyMA30UZm20Wbsp+Yy
NuX04upkD4SV180/hiUCRta2TXmvjK1thUk+uEqQ2DleaFjckBZ5W9QIEdxEwO+EwheP+qLl+W7U
42qvIkDq9jQP3GKbt42mbsxMJcHDUSi4N0jDESS0+Syx1bmD/tNMh64PIo7yI0ckljhfomfo2AY0
aG2VBS/Bm/T6hCgPBphNcaNR8ecTPm8ABYwLylppztphjVVDwDbN6IRGWJJRsrLHSa10jF1STPKZ
3OPEOCZ65G3V0e7NcJy7NjtCxhCOn6Vm971jlbuq7cStgyJpxxOCo+pblrT63ch0vg77QkbjBv4L
neJJ77wbD17VXeZJzw4IwImeVcaJz/0iJtji6Iy/l9RqNrHm2oJwHnEpep2UMG2/dVvLgsm10k0k
1ppNp9H2RWmq6PeGxci165b2hQPAeFbmIHLJSiZxcJMQPPBCRxXzSy/aYQuZCwrYYJlcGNEPyMS7
yXHb7QrQ4BYTqwGMk3YimnQXObRf5bySflK23qtV2+33YqHd7cNyJBQJn0xzrs2D9zZPImYtgETG
C93bCUyp0W1HX6RVwnjZJA5jY6CIqjaQ2IS6hQlipQTnpvkF5X9EzqNSI8yjNxzrX+xRn9fjtfjG
mLf68kxA2u83inSAXJDCgwrMuBWbnGd71yjN8tV+9HkrXJkzyDupYzhNf1yOhwgZFVNLhsTjxNi0
43H5UQB09GFeuAeepf5KL1xx3pjNvCuSun1Ea8AzA6chgMSMKAyv5V7OCGZ05Dc7JsmPQEiV+5rb
0H2xR/1u93TwlGFnWbm7nw7hPX03wXRXDQh9d6ptrFfOfWW7DCzgVXcw/CuSeBxbyhsWnuimZbx8
VmERvp6qOB/PV92TzYhC674xBsnGL3693xQwHHJVLN0uI0D2+fe3jBq0qDCFEENVZgbcOoikNfmK
j3WdfFGCfj4B0S2j4EW3DNFwHTq+/yhUFHWhRP0UJIx78foj2qfqdLM3uiL25UpO3EEpcQOmRfGJ
NKf6XDDh/eJwuJYE77dyWPr07H6VMhpjz/e/BIHkBpsm486y1JXdNEe677by0bAG80KMBGj+uXb4
7ccx/mAYoa2u9A/fGdhs3bgOvVCRCAO2a1k+SxOmBmYErE1eGn3xbnzqXnCNmbWsznLbwffzYSaQ
s8soakr7iswq0IF5SeyXUlbzqVKTOIy8yNlP0eLe9Eyiws6N2Pv+/IU/nTPWX4D+FkpUHYrbxwZ9
7cbztEjMVPiP6006ls7B6BbnycqyN5GV03dJ/sW3P3/m52eYz6Qso19j6qhrPnxpVSmSUu+hukRp
njFBS5sziSwEKWrsfLHC/aLxf3h+NJzwLmpLDnD6R8RARABcYjJ0DRhq4fZMEa8Acu9M+3GaPGc8
dxLRP9J3IKSNaGC6tLaapsclitjaebPNmyaJx2+pkum3BJOiCsJxsow7YeGTtBXcpb5MrQvsT9G1
yqS99GuLyO6NUXc0BJSFNLqlMsw0sNEY7gg3He4hCSZPkarHqLM4J59PovJOSwrHY6ubK3eI6Mfy
yiX7Rfi27Ct4iFq77CSRbukmK4zYDdsuq55mYIck5ihG82z1FLgMWycyQ2YThcygAKz0QeKpejCp
SmLtsPOLn/Sep9kHSdsxZJu8Lj4JFDwtUcgJwZt0qRyPwddKL2wxE37VNvjNu6XxlGGT1nRuxsdj
CaOHwbaMlhORLB5LsqCPsuTbYdxGioXCo/ri0f7N53H8obHJQY8h1K8p0d8ac67hwaLE9bBqKklS
JqZBQZjlNGWgsLJteLDVr5bM3zzZGKPBhvAFoUas5s2/d4zxbQHc431CdbssF5INjUxBsupQyvRP
9ZDkW2KFgcvYhIPTEutQGSM2d3L7e+Op8x7dmhuKTDUIpSmz7ou17be/HBu9xumX6+J+aGQo7eR6
8FJl0Goy/WYkDP2zQUDvamx7+eKc/ZtlZTWJU6BQVrCufVhHhxGMu2I4fJaXCT9t2/bYjIt6jsqU
BMm2TnYR+uovvuAHrAO1DMe+FRzDzI86A877+8s/1lmSKhbfUCQelqh2tvFsV7mdmNvG1IVNgR7F
6daZCv1b0irYJ72oUaFqIYTcgBsW85E3km1uzmhoQRou85cGk37BIDBrvyHRGm5Bk5lL0PVmK7dL
2bqX/JumE9KXG0NhZXm7a5qs/ok0mBnhqIjB/WJJ+yzg52Cv69jHHYpDg1v5/lsKXlwZ0eELXHvs
HlI6UlsauEAOGq3yQvDPJX48QwliMONBUhgIBXJlMLHW2P2xa71u/+fl/DdVJL+P62geZ27CSdZn
4W/vWafBG0Y8jW6zAmBMFct8xmd0FH9xrl8jDT7UAquji9qHqQ9e549DPOB3pteQcxao8ZzuR02t
h3BGKHs9O9WkEeyGiJPpV5Y8LXSAho1my6lFTl7GT5lEwEAKo5GcpRDkG9+s7fJGpbZwDq1J+c2h
vNfaYAS3ek3nSH5bYU5dsKSTJGEFUiOkAD1ZDfkMGc9zAGhmQAZC/crJV3vLdelwGFet6gYLb3Z0
Zi+5AgaBnNZWhj7auiAB4MqBqPimLQ26rdxBxxYgI7J/FhBwlu2ctDGvhp6BDfnz/fnVP3+3B6Lq
YxTJHs8ky8Qp/v4GxYPjZlHaWMAbPa1ek1Xq78oSGROSmIV4LcXRvtGc029cxfIQ/eWiKw/oicu7
LHLsm1yYVXxN6bHGvDJlG49wVsunasYJDUbLoVHh8duPodO3Xn3rOFnrhOyoafeX9/A/4gGc0peu
7uufw/965+5/n0jyvy+bt+p26N7ehtNT8/FvvvtBskz+9fmbp+Hp3X+ERLkMdD/fuvnmrR+L4deH
xG/1+jf/X//wv95+/St3c/P23/94qcdqWP+1OK3fxYGs3cH/OxZgx6+AgHD+Oxdg/Ym/uACKDhcA
/IXnUaJrOOkcFva/wAD80doKZNiO38xc8QD81L8DRLx/OgbrAohoNgRGwyzR/woQMb1/MrFGMMIJ
w0J4a/3j39/86q/H6q8AGK7Ev/77vwBNXtVpNfT//Y8PuBDaukxrfwVvmDan808tVxwwg1wcxmAa
OptzG2rXg9KO2YVTK8n5aJQI1VC1MShvhpOn9v2hs0Am11bqfFFrf7Cp//Wb0Bd12CS4EqRHvX8P
hqjERE5jBjFwXqcbkf5AxpkejVkVPwFfVLXv6skPd7aSSxOF1+BDX6YfbU3x49ArCM9i+MjX5tKb
8EJFif7a1tIbpZmXy7/d3t9cs/e7569fdB12AFJAP+CQW/L+F0WuY0STwSVrxZhtlUwxdl17cFh9
phLDXOlGX87g3hcHf30kc0zO6asVE9/A+49U2tIVwK8xwaXBWK6URLVObhUNrB3Nsnob27OxQaL8
Pc3teFPrsYHyTxLl7aa5b2Jr8Tnbp7sph5j+62L8/7f+H6vf9Q9v/Vu3LqLvXnp+4H9gIAho6KYg
atEZEK3ahL/eeeufnHUQEFAKoXXR8Pr9zytvWf9EPIzmjX1tTRNaR1n/fuWdf3I2cujZMjKgQ/Gf
vfPvn99fPSUc8RiRKcgI6vtF0PhbRbBwDmqMYUmDCCCxE/u9XSEeHMxIzUi6lVZ3spHggHAgqeRv
l+g3b85aV77b6jhFrO82Z1raLBRd7x9jZ+pzItESjF99CRPHSWDztTZ4qRANDqli3kSO2tnoDvlb
X44oTf/88Z97JoCKbXTEVP/r5OGjpHEw+6Zv7KwO8PwSwrtkBUGBrt3Xuxp9xP1AasmbqZOtR2bl
oqGEarR6N/TqV07n96/zegc47GroY1ZRM4/Hh/pbqHXRtiQKBujArXPVyLGuGeN0GJMVivXnL/3p
nKVCEkKGAEiGvglVxvtrjpV0AnEACTcvI1PcEZfsUkNEmXIaDH1Nq60tefXnj/z8gPH1qHw5WtCn
QRz7/iN7OclhBLIUDEuBVaDppZWfccqnlz7gJGQGkarNBcxe9fnPH/y768o4nuuLYZcMgfXP//Zk
g6FwZr0hxlKpOPNf2DKLsoMh1+hgIne+as58fpqpp5lqQHFcx1if7iJBBuhZuiLIi8I6x4f0mpnj
MG4XiQNEaDi05wViYzFV1Rfv0W8uMCsIby6bD1/U+vD8NOMAODfHSJdLIB8ik3kYC0YPRZy9lmT7
MCPkufrztV1v2vt3ly3PoxnGyHutGD6c3uRCX7gwQGAjQVafLa3mSc1Yqb74mM+3kKMDaycyAn74
kxQQcxzVcoPjdrJYHsBhJQzQq3F5Xciq+LKbvD78778Ul4+PgczA2ov29/0D4yhaXrW6XgN+MLMH
QshtLKOaOu40LR37UDa2mW+GIsFLlo2GwuBxGDgyzlBXwrZGuopHtOIU8+dL/fka0JFnlSRRDpib
/rEVk7tqXA/RjP0raY35HBn0HFSwtKdTSrj37j//MPwezLDYEdCxf3hZl1k1E0n+CjaKNdGkVSHC
oWrB2mpOzeOfP+vzM7RubhrlKysDxEN2uL+/n+SQmJBYR8wQ6ejtYN7zDJWMsr6C4H1+M2FYQzry
NDrj7DYfvhM+QUk9HDNzmypxymaI1ssEybJYWqwrgG3jF0S75V0ZKSL7ogHweb2lJOQjsY+ztlO7
v/+OQwXAmyS0OkgQiD0z713o6S02uQ1Euun5aWwIYPvigfnNdaU9jTmGVQFBysejd6u5WBAjYuhg
qcsrhTCfB1Zed/Pnu/dp1UFIR+uGnYRlj5Pq+ud/W11HgrWzhW/sVwzwrlwzi05Aj8xDno5RIE23
uWXm7X5RbH+Wn7G2ruIz+v2/pHTr9f7bp5INJRRDoPRyAaZ656QVuKQJIc3O+2RxiW9e5ngnCLch
EaseeaDmwo5f06qs9ijpF+8sU53c2OdjhrLhzxfk8zCKG72KehEvowv9VM8Yde4NOLrnAGJIvWMw
BCY3swlhA6YvXDCiTnY+yCq5gkjmBXO2VGd9JmJe4yV/Sx2imwK0PC2SVVxKX73Xn14Cxq0cLpFz
rGscEsz3Fw4jJfESRgm7Qsvcb90gyh+Lh6guZLqeXi9Zpagn2ig8mNSJlIHagjk7xCPq+BUF4jfL
maq9PjoY3r1Y6AfHiaYphMbvxJu+6OS8aZaGJTlnfiHDLhvxyuNVNzOUdqYtN3NT5a91x8MUCD0X
9FCkO0zbqSpxoTaKSQHIRLHvfRUR1wktjvsmSq2S+z6CH7CFjQ8aqtFd/p4+IxgKCZIrDvHsjek2
Xt+tDi0HLptE8kt443AjOy29Uo2o2uplyiBdnWTx4mjFjJ9qKovAlWVCZBnXBOanIiB55Isy+ok0
3HM9NtvKF42gIiIQ180fMzuTF6lKsEz456fm431hVaeOp/+5jgg5cH/Yc2SRS1KX6ipQLgqxLSts
EKG5qdE9/Plz1t2CW/y37Q2oLP8+aEGsFsaqB/ywDmZy7AavS1wow6mdPCk6PmJfkzN+c11NRe0v
XY/ootLScIGANWyywbiK0i5GswbOy++HzjjaMrYw+MRNhdGZxtnSL9siT46G1BVcVjjJ/GnCUsGe
Ft0sebm0G4MXLyGBHB34UpXFDlCL7jtRtHSINdIfi47j1keqRjbhlNph3UxFSKdOfZp6SP5YTb+r
HdEEvhvl021qijWbw50Z+XA1SYNpdMGgR1sykEDt9bokptsWDco+ipzmql10V+AuxkPSENvX7bIB
wx1pZAlrfzxGxoH1AGlGZXbSjxwHukuR5pMaRpPrXE9NZwGKJf4iV1R7Oyb0GTeRp7TYj/IGrV0y
yy3clq6GyqQt34w4PWOQYCxP3HQtMHuEyJs2kUW/UxDpm37PzgO8vijFncrIjaggPJ49jTnUXHN2
rYnGSPyB32IOtdYmScYDtHwgU7KGC1f019jZmxvEpfmtriflG47gvsSi2CIv1Qqr1wLS+tDJjfHl
iN2cVkTh4rCmU+P97BoCY3jVFOt7JCo5B5hpXfLjDfh35IsbKCgcOV6padRea5YozhiepMeK2MSD
Mhhbu/PcbWdIUGCAqy6qGek4aSnZLnXH3gjA30LWi6vWHFDBWG9JNP8gMmIFvY6T973jibpJFJq5
9TgCuq4JtfKLSTPI/my1/URMHgE90QPBZfpVp2o9xn79VVs5aVnqujA0FoY1pM+KeQu0Gh95DPH2
NIO9OS9Ly7ppPG3C1j/GNj7LzMh9Pqz7SUxh7QY1OiJ9J9xRyy+KqHlxEvs2zXqX2aI+zTsBHxC2
1lJAZ3QN7aEhkyHeRbGub5usUa/1zIxBXlhyozAg8uN0eekmPJyjBZ65Fyl0bRgxNysFhcRUJu2R
Vy75huNbvTNrjCs2D+KwYdUizykfuYKZothhjyX0QD7gUIZVlMNKTtPOudPi7A6dzhAfOLQUZ2QK
YSAsq7Tf4WCESrIMc/Gtx+vElcytghUjjtlGYH8FsqjHq3JR1B3TRRU2hbmc4tGWB47ZNi93+iiM
pPLrrLtlTDL4QwFKZDS26NYeusx6APwITYr8dlQs1RnxIzKc2McJafLgNwA+pBtd5tuiHTWyE4Vn
wVEm3QmDzACqpDcqednUvUDinsQg3nMjDWJrWsK0kK2/5JKoS5St10JqyqXeJVd1QRwpc2QjEFZy
X1mWduZ48W3TDu31OLfpayLs8qyqi2M29ESKW/HGLpHkddYT/ryn3OmKzAcvIn5Q7bx6JpubVMQz
5nTzezYv5ORwcjmDHpSD0S9vpBdfKnNdnautibEuWi4t6UxBHqeP2vLaVek9aa6vILhlsGA0mtX4
xCIF8WEUKBH7HRHC7QYODk6z3nyMY1TGpCdeakqfEinUbAFD3RsOme6lKs9jW56qOCpWeMZ9rJAb
DHvwJyiLTePqj57VPKtJeu9Zk+UjGraDcsSj3MfyCYvtyAyomV+o726ksdwRf6huFSA/xAMoeDka
ENs1WbEksMfHhmcMg74PkfKmjWLihdl4j3XJQExboTyCwL0O0sgmsbXLwpy5Q4uQASz+I+UncIei
ps3T2PoGR7JyUQ50FZkHApkzXYNPUK2DtBN1o7vYvEh0MckfIDU+Zk5aASz0nZZUosEA/TkNxl6B
LOtXRnaH3npHqbNQIFgkDPGejGmhEq8U3+oG75Bb1Zc5LDlvmEoq4fTNTRLzjOrNcjddq5u9n2nW
KwoLCJlZqcjXobCG79agVaC5i+Zo1gtMLMjiWpPyq4Ov2CuNuMx7jWQxRZe3oP6HgAjMe3Bk5wvB
7GHnrYeMOCXg0EII0JCprrunBf0Q+FfadQtS3wIuZVjo5TkSxe9VHh36roh2qayQB5hjOJg0i2jm
eLj38WzHXZqEjXD7i4L4E6CaNUggTeXGlM5duywKmoHxPhu0rWLF18Ua70WXAmC6NV3nmftCm1YE
rLHxUWmtIWyU5KXXwTQInRWxqhyIIEw1A6iE1sbT8/iUNc2LnnSHNsndg0csri+L6qerEJnFZ6c/
OR7iEC8iNXTnOnkdogVESGGVW7wBxS1TNkJaopabwmyJ6kYBiwTEgQVaI/SEnMolV3dUzbtm0uFt
2PobqsOFp46mxtjP6SktK/esa+abRDP32iRuyQo4DmNzQ7hj9l0iTkhj3JdKQtorYXQv2lzEIfJW
42wRnU4/a4ZySDKar7VdGBWSMIshvYAZYd90rbhRLbJKvUnubAj3WN5PxooOsRrzvs45XLgeUT1t
fJXlyaFVrOMiybhKAB+Oo7jQzfwid5q7aBFUnHQt9vkkftZgXnwi+Y4wfVk3CPcV+kjqXJzUxNCp
P+3ea2Zuim6cpwYjBUufzvO6RxJWouLTi+mIrWzXlnXlU2U4Z1Evr42Kp3+rcSEZQ3LDy+HRiQXC
AElGEgsOTOEqQQ4YEw1oqLavo3sF1lW+cLIhirXrJ8XP9ZqcURp/PIsLyZfQfy/afj4MpOWFxug9
soAjdE+XH5FIU4g2MZu4YWfUKUp8hL4D+UuCFdALa004H68n+JgBrYvSx8BF9GAa1X4liOXqlkHZ
JPUcQfTJtsJLw1bNdwlpnYY583eG9CbXPXZyeJRB15RPk+I5KJerVzWFWEA3gHDkcfDx1CSwKZMO
9aVxWVFHB9MU3dlVe7Qh7/iRDl0cxu5TPGnnIvbkZR7l496KTfAKRg+XaFa+icZOT0U5O8HYRBc1
IPRQo8EAzoM0wbvIiffRNG9mAbqKHK5UTU5OkoWq27EbA8sPpkghmTOHhQ46NxRF+wox+sV20rN4
vbaJvdzhI6t8sm+cswnABiZmzEZtSRuuI4lgkyeNC1PX3jVJulOmIttanX4Fssq31NvWMqMtIKid
bSgPEae2KYOQoptXVBpb1YOvbubNho7Gq16IQ5/W54uq7MjaTohlw93SW8o2JnBKOO4VXeV7tYxe
s8rcWgM5Y7YJGy0N69q5nazycumZUC1l/uh0C96CCXVkytLNDgvMLzSFCetA7/Kt4RZX9E+LrST8
O9TJUQhao7DpgaURFSe3g2Hjpgb3dZFlEGkGu/dJyQgSZlJ7D3G3T74siW6CENWpu23bPiQcqtm6
9NN8S6wFj1I/qANKXUeqR8boN+i6LsySdpMtFdL8BgBsRLAdGCkBMBGEiBKBdK6YOIdqa+ECDQoy
bsX2fqR0e8Ioh3rPVmBtJN6mmTiExa2OuS0FJrD6xZktJXCmDOmxu7q61e6bi77cIe3iclzsZG/p
gOFUl60bZnMHxGNvzJFyn3IquYtd79kmMmFKnTPQFDeurdyR4BwMPQ1CAmF/po4rOIZCexGO80P1
iCJO7QY9vdNqzAeXU8pEMdDZBCixxSPt9adxgFQddU4TEhx9Z0+aDstE39YVEbVykdkBi+BdHru3
BGs5tDXaa0a210xI6wu0umgO6uWHOZHRBx8ZmfiYbArDuZFkKcDFiKKQ9OwrssoLcqtJmMls54wi
bTdnxDAgTCfDLbHWXHjnMo0g/vQok7eMW67rNnvOuxH9tJJc1k1BvTVI3EBuD2xLK67LXmPxp4/E
wK956FWdLMK5ea2N6VprSAloiJi4V7QBEe404BCPYvIBtV4exLRcDg56C0WPBcmDGcTrdi4d303a
p6wcj3rRnFI2sEO7QKAyOPVs2K/waNILzE88d8u5TMUj0Rl2gKuPdY5yhKhg/eggE482mMSrfZTU
L9j25WEYMCQ6SXrZDtFl1aeHSWBmabAkoNkf2HVmkECKSaa21jWTr7kJuZw5KDZVX7owMwCXZV1O
0mpWPrRLv3dcyXLGyuKr6BbmUqmOhYXEl77HZhmre8DAb4vVuldq3CcnlSTMQ+20+rZMuc2y1pSw
sKf4ZIh2q+bRWTLpOwZDyiPRMnpgF8oOzhpvkDvBGiiUKyLjtm4/P8RieKi9tIfdE5858BhZzeD+
gdoiIehYD/01kETim5r2CNUw9KwZTgbUDzYvipy8TG5Gz7mrM2kSF9ddtar1fa68S2809mOpamfk
LA6wu1y5KcYpzOL+3lyUe40YxfPWra8JML4hY+umHHEy5Ev6qIp2Z1S8d4tlHldCVFD3+jqLPyCi
C922OUm141jCCYatepsMkjWqhh45drtJypA+xlkBS5WNpa8uXAs2XWC71XzUO0uErfDO0jK61pCS
BMKB4KhOEQGK5dYop4eyKF3ClLVQahxqMdpwUtZ+Do1c390GnTiG9xCkQ4NMB6Zn7XeRrnJmrQUJ
uFqh5/WmzabJ3pLr240BIGTvngPjcOvhFocKpyrAIxUJCRNyewb20YfPsVxYBQX0DRE4bNMo9Yt+
j/QlOYH7za9lXLc/exLz+tVjScnYGqlxoRddTTcrHUzlEEl6PmC/Lf2VTo71gD1V7hU1mS4Gw46H
nSYd+dBEWXPZpC72DlVLlQKQ6qhfRQ2TdEwKhHieEWVWhAMwJ3fDK0Vor9pPY9iM2l0tklE7jtbg
3NnNkFxhqgJwExNFr0d3cAuukVmqz1JKc9MSZ++CdM3mZ9S7l5PTkY3Z6tnBJhORvT7JsmKLSmR4
lFwgnrCejIaotjnxJuLa0suRFEjuZ89hIUtORFHeSRNCNDl6ATFWNxGHZ3heV3rsXdMIxlTYwUwu
PetSJgWtj7nOTrqEsh7EEYx2K8nyyyQjxTJz8iCrVWJMMhccuPncdq4TksYznRUMiVnb68nkhxYL
YxzPbmB17DLdFB8Ao8UhcI76soYuLkbxLSc8yO9bdbzrHP2xcpsHxyETUy3gGRGg65APZimcOTC0
MKZazlOPQF0yDb8lZCzQfexUsS9ZS3zonw/F7BaAXuPvOtEDPHNNbfkY3QNwoeQTQLvzqfraxcfL
NLg0DjQOnnGbGBsck9OmxJfj9OIM0CEsZeNyWNCTJFInIcawnus8q3dxOsvbpCF86DjKsXriXBY/
t1XnXhVN3m4lYJSbuNHp7KYySAl3tZglTDc0KDdz7B6SyV6upIDQp3TxjNCe+GAtgxA8ZklGvHNs
3fKCP/WdvEqp5i+xGmXoV7w6DyG9YY0oBjquEYOd23noljO2xQ4jm1LdNSVnvGJZsivHGeeDs3jf
FrVSDoAdr2JodCb34RxPQR0mjrc8KHbJg0DR1od970KwqznRj6ApwykZynsP+iAFeGndamQzkBGt
kQzGJPNMDi28TMuerprFS17QudgvFvLmh7EAZFkM5kOLnukctlNxmcVk7cEMyE6FGwlKCabofpqp
fkbWMuIy/Rxf8xjIxrJIJO5DNdEY4vfyJXP6E7eFCdrUPTHZLjad1VxPbT0RJEb3iTdmW2JUoNdm
JueMR6qww4h1JqphPHProtynImr2dWOJe0NiXwvg5X3XNZKwWorogFJK25peqSElQN+Ze2UeIj0N
U1pDvtnO+t7AGhIIOQOywwuxUeflFgF1EtS6kR8WtRdbXsDcT1dNk2NRyHRu/32ap594obaza0Cv
olYMilHXwzQxCD+o5z7bzaK169uY9GdlU+p2dxoa6EFQboV6b1pAC3W9gUwVe9kjTRLUNxPxygED
eu1cT6W6w0NC/0zBqZ4M49VsUEkXEIHPRB7hM8IQRDRdJ8VWqE2/J6TD2chywiDW6IVyVs92dtGV
0DLT2FSQBCUIgGrbiIPZjeNbR82tU5UhAyz1cmMbVvFYDGnyCA7RQuXVIzGHoKw+6UnebQlQMd4g
whCOrBlS+NC4uifPyxLzmCGcDZmjF4mfYRV7adZOM+clYhPraKRQ4d2JTQgHScYDOeOI8WdqQcpF
OTe2sW2WUdBAcp0B0mIvTcW5rmHXIUccTR7I/QxT0MY57XKI4uwzBvGQeU+IU2ebw8mSeFTcbtxE
B3T0XX0moiGp6FLT2z1og5aab8MwCd7eYewi3y6XqvuR8W9O3w2PyOILLR+M+BkiUCqP6jLY6dlU
jn0cqowVHiAd/ZpKgGUPx57Xy890t1EDNglmkTNVP3zRUdV2bRsZ1hl7hV1zBLLj9FYtTfsZS419
1XLgj/fOr3ECmcd9dkZ5OpsUFBU2TWwj7nUhKPIOpiccYxsNfT7ta4yV32obknqA8pn/QwppZIM/
S6b8NEIcJTskupxBxMyjYcC21MnQPkzdXJQXRmvKq2Ies25rjKqxx05ve0FnJRHnK/qO9LMJn1Wf
gcirOHJUt34bdKU3L2eBAjnMLNIxGZVZarxp40mR207WQCZpyxNUIhNARiHDS+x17FwKnR7RePnB
SKPBDTO6qptO0Tcct3faolzPpqQj67bPpePsDH3aeVNzI6d8+l7jbSAJ6QU+Mo3C/hIz6FZ0vU1f
uGG58bR2L2gxXy+0Wzdun2jn3O3HhKo2EeObO6hLmDvT8thjqEAnD4Opd2uKIHp3nLjoN4TzxMln
kIDh5oyGy3qIT7Zm3TgcNX90yYR/QkXJ6OsATbac4vF9CGPJg7h7TT13L5TphxYP9gV8SxXuntzG
Im4v+RHzlpZ5fmd4o/WAsTPbjxZ848Fk604WZ99SbYccoRJMwq3uHGp+VyKCHJdbTJsy7Dujol+X
C88rdqY61PY1SciuA9ZVsBrIzp53vYmVxK+aWfKK2G1pHEnorp5jcyJNOc9SYR7afioxnxbruHWr
TXo27bM+5UBvWnnnbqpk4FxQOwbHE86N40h3p/B2Nflh5jFts7kO28a1PMJlGnLKjalFEl2lGKb9
GpBVueWBcfutIYRUzwnNUazLaBTOGluTKk5oKkgMomqx8pNG6rh9PjWqURNbTHNirwldxy0pB35v
x2mRjaEZYQqLmiOetnU76Pk1FbOM74YCD+8xlypLgS0U/pfseSZRKJQRMRtNDy5yqaJjZ3rRsJWV
1yfbxDLB0NSRG7sER+W1cSy1ZTZuc2PqNGh3Vl/s1bRYpr1bWnnT+n8tE8LNxvKHwBidXpk9wuhT
3jLW2ajT2DeZT/h3v/ieXarKybMbPd3zL0c0MMgvP9dwddLN7FqMwR0nLP3/UHcmzY0j63r+L96j
A3MCC3tBgCQ4iNQ81AYhqVSYx8SU+PV+2Ofe8PVx2L5nZ0d0dHREtVSUCGZ+3zuKQh2dpuJKpAT2
yjO8Drt+sgZyTBEqzK+jj4rf6pc22+DqkVGlsQaSw9nG94Xe9hE6svnG+bx2gzS8TdxKPyQvFoUb
c+dlTersABf3xxfrG1cqSxYD+KnrLXXl8B5Ome2e6skroyr13T1yhZvygxTxGkvdntD0dUtDcRNI
rSczrfOZjWp7PqQSg1F/I9/VAq8VOO5o/R69XNvBmcfvcW1KOuxaChwrmaXzTs6IktjyqbOOgKCZ
Lad+UGcU+ilDXcaz4EirO5XCAghKSd++VItaIjPzcG6Pfu6whtTxNm4KRQFWq5jcqX2WzzdaZTcS
LfC+UPHNY2559XenEbU29s45iYvia0kM9aCRSfcwyWxGkuoVfSC0NTmsWPVHs0bz4+jZDnmGC5BT
CgLHShkHqvPljqpt85hxRHTHhYVsT5XjT5mQQFv4cfdk9vgyMFfYNj+JWmfWP4IBeNOeUuiTX0VW
z6Fe+jIcaiI8S+GUxkZvNH6nKsNOXSvgrbXX7WiVFoHqRrzc07Ay3wueuwBfyxvhJiaGTnc0v0pQ
BIgzMRAVndjqpYBofU0Lq3koDPFuzQA7s1F522qZ4oc4JgJrW3jqvupjnZMBp7Iwa+Ip+14A1g/e
tfDHOQbK433SVYn5uZbFdCBCqNxTVu5/zQjg9y3+x7Mx1/JixWQOCBBKtm/H3Ljp7bTr0ldDj62T
aMevvjDLLVK/g8ji5ayIOw25MYaLP9B1ibyohWHq20+yCrI4NDqTMLy+vmGklKQ1O9hEa0tBAbXf
NM3aX6OGzS7Q/LoztsTb8IQVs6s+OwpVZ2JoNZO1PydtDOLuPbXV8D5jGN7jZ3zA6G3dWaQVX0cL
ZogBo16POsyxT4/iWlxmRpEd/WfTb9vp5EO9pvJe68djbghwI8OdRQSgAGrl9BZAkZE7dhoUzWp9
pN2KvV953dZqVH2RdqJHvUAHQI8TV3Ng0Aq2r3K93LoIdShy1Nf0Vxq7Hh1mjU43N7w2FGxLmCi5
Kwi52gWcOCWGVysIMkjBDHH44mfFDYm5tHWIPEUnS/5473nhLVLxybpFydJVqfYQkj6kXkqDdFqa
7OxCK/Ugmet1t9p6d5doU/8laJK+5MX0M+qkxbIrrQd2miQQTTxkIWFs+qGmSvLQuQyiTuE7J/Jk
Kghj3dnTSkAkHWEF9sNiivmjlbRzUdTVqTvM6c5jncxMHiQFb9e1JjbfIbOfWIZoctaI/S3bSX0s
Nq2+PKIJ0Z7pMh0eelgxxtes2fH8I4/wyYrrysx6k0QqsrnF5OgnDk/iZlka8YhHpQ69Ji8PPjFG
UZuPcUQFOghd5oe5pzdHPrKHok7XD9R0oNoJ2KOeu/2DRtEpUQgkuW4SioefRms23mfHTC5OkU3c
zWYKjuOaV3PxXwv3hq8ahFjsR8fIQp3U2gA5Xkplm1+x20kzKrLV2sdpMd6v7VgyZpQxz3/q/1hz
LH9XRf1T5jWG9m4cCa41xYW+9E5u2hEFqpAjfw+cHmT3zVeLKsibzZTBJi+PSsidVxpUyBnOzu60
aIlJuXLcBE/54hxNcybuitDZwG/UhyTGeYuQ5IWAhm9nQGbSaNXGUK29cWr93Dh+ZzMuoBeMTY2Z
qCOODWFQNey06jbfaFoZ1oryZXCV5VywjcvNuqSPQOH1adHLx4nJefKqzA0byTqhjdCReCr9Y7MQ
j7JxcEZESaWp9CR7ktj9aUpO6DwG3gjORBoGuIArMKxyWp9WfW7CgkN0O/EQB+UskVLpGNJG+1no
+VeFXmzneIT0QgiS/ZAZL4NRREDtFBf46lcrDUlBBqUPWsN9lFlzZgeupV5Wr8Xd1WYzksFKrqra
0HubHrW18t/iKq4ALIXK+Aoj56ycKpmHXsxigD1pTTf09WmnEldW2Eyz9kzLyHA0x1mdMMpxpaVj
EVEtQkiItcir7DwAJVH2ATRxevIwNwUpQs2LRy/q1gZ2VsSk7cEUWUJYuwLiolH++aQF5F3VPmdk
RW0KDtVtXVbOruEW3NmrmdOrXOHjBXu5SwwXLFinU4BmDknipfBPQ91zCzqJ86jHQp1XNXYvTswS
iwm0eNdc7aCUdqQygoz3KW+aMyh2oA/9r4yakftxdPDV5BVhLIZjRF2vyZfYs41T3+neuUm67jfg
sX7KtC4hnoD6wtjKiP9Jcv2KwkuLt5xnsA7QZJA+SR04GJCjViEipEuSmbFZKQ7Dob0l8MDfmabm
UIlSOMP96NbaBVt1c0pY/J9brfXuYxSn29IACzOTdVmDSZXNo262n54l67MsuQ53VII0kWgbd5sR
2h8Mixq+/AGWv0RUTWeky/FcmSd3YfW6U8Dcj8mcwgyvVdJhMwTqPWKsBMJlZIQBagjN7owijHWx
7MFMjCMOTyptYn6CukeAlc8gm7uixFxEboPfbnqlvGNT4AqG5G5+KU6aJeJT7T/1BCwkQd7S3pIK
KRVMptZEajE4A7ISvyFytagSatiiTeDTljl9/xaT0E2GIiKpPpzwj8oNyJ1+WnrNPiZgKmZgjZ14
sRNT/5N6yo+GnplsUjiQX1rHlQ+zbWsvdTaad30t+uM6rG9551V3CyvWg5U7/bGK3QZvoapSOkwq
6+CKbuyB0U06YwgY8UOrntjs9UXdAe2XW4fFkCISYPzmULrE6m/cKTHAr5N+skNtSHqSxQZ9DBrq
tb+VVafj1jfX+CXthuKPVcQ+nIrGXeB5MA3DoPPYSH/KeeSzRvc3bZPlz2arHHuDKs70wqzpHGZg
Q54GKYs9BxozW+msaMDYG2ckv8LYyYFo/w1E+xMahgU8e2zucaen3nM1c/q5CmVcENMyce0A9IjY
phjVeLXRVDA85W5y9OqawpthdK3IrAEa9LbKyDFOaXUJ7WVyiI2fWkMFhj0mP/qA97gwBTKtNi2O
dCMYX5acu+Pgr5wPDknyOELXMxlIbJrkTd81JNq9mev6lS61ByMP9104nGMzmQBFIZYLIfTFTrTa
3EIN3rZku/lte/Nh0Nt4g9f5rhHjR8ZDDpq4ZGaQNSletszBs7/YBYtN21ZVgOqqvlJnWSdbRGic
ekzbkRFrN/9nBrJEYWEXkDba7I2k6rKNqwiMZVbRBBIkz95MrvgGxst2VMDuiYObt+lYy7syp2Sm
LwuiSyQWBSTZ7oZwMp7/3vF3qeqrg8nSEFiL9+2LBJEDYsp91RnDW64ZycFvYtzo5dD1EXBUxwcI
IQTLLqEC3ZLc8/tGR4Qe71QsOb0f9D9OuxUjzo4iFcDjlTdJS4c2XGExNKzea/U8NeyeoVuRj88f
1nerbaz3nt9aoPIq0dYj5yocrYA9ZoIC9IIftSGDNhUPn7ddsiE/yKRmRufP9K3kkIZArjodxAyJ
CgtJEk2uZfWho8/TNkFYsgP+IzOmnu3HGZpxh4UCfkjYiLAW59dkORhsDaagoCBpMGLDGt4pt5sj
g6x9BgevJthHau27NToQqm1ji/fe0dAKil5Vd0Ps5KdZX3gdDH0xnBf7cjLSK6pN8iG1gDRlqcBA
x7pZDxkA7P9VdPm/SC5R6bg6pVl43QUacP78P8qVm3GwiRf+Nzn96vUK03PlujkG6BpRj82IwJl1
2zoJiz6o2Rs+IesFRDBlfxhkfLbgaI4J59p0S43AldNwufdhJJnG8qUuNutgjSatT0Oq/VSDgpwp
xqaa/6Ef/peMfXTE8M8/O3QpdPxGQtFnSTr8t/+c43f/01w+qx/5z9/q/0Gzr3lz9P/vfX9PZTP9
1BnRE/+wDh9+/9f/8veX/Jvzz/0LSx12X+pNKVD7207xD+efYf2FHxVbgIm9jxAKAz32v5t93b/A
19Gp4l26lezdYlD+3fnn/GUzF2AA5h9E5qb5L7l9CZX/n59PHKRApFg9LJYX/B7/XAa9yHJyl9Fh
jdW0ArRfxN+jziS0wTGEArokDWUOZOf42c4gDOxRT/uV62ExyDTzjQWWO9VmgaxlTNMo9ZzB2EK8
9teePjJSGsba/eJESNNAE6t2oeJlUpEOdUb9TSs7c4+SnuFKGYiMA3sgTryykvQocwCZ0bT2Nk1q
5h45TfaSeIPRbFuyrDk0KoBY5AuZ9yhcmT+ZbQ68MPVW2WzGTl/4Noub0V6LhfhurRmHwswVbk4r
c2OTClNagMQFILoMCysurmMiNVBpx5JGlLoxh0rhZ8alaTXhUqYMAh17+lAdTca+00zQVLfh7TM/
jXzyEFbUeYl8u/Yb/dAZCCOwR9+20SlZNKLcUNCcbeLzzlj/KiAwA21VwU+pgsyskTLH5qzncPmy
kTeVh2VeHURUQ1BqxKjyiom72C19PbznSWJooJvMBlHnt2IKuzVf3inw7R6ZbwD0ulHX4fcoOX6P
R2o7tpIh571KHPuDhAfnFdnC/Iupv7vGbjaRubC4sKLs0qm2awmlqoNuyS9W6wfZNEraxm4hhGvU
0oI0EMvXBEPjvfqJPDUpQJpGNhta8d3tQu5a7SpIiF/ue7s8xYBgsUJz6NsRr6Lu3KCzM1Sqfbb1
7VBllMCXy6eX1g+6cW5wClCn97amZDCDaQ2XNc8wGZCIztI/mJWAr66+Vs188bjkAoeAXVJ2ro66
iR7GO7jjPYj/lZvjWY/9Y6oZr6X8yYGXu+S1dLMfuxvoEdbfs7E+V1O2qVeSQAjSLqGvN1l8MCZN
D2b7tkTK966g1LLOL92s9j16Dyz3G3f2aL/xa6RgXO1msyWJolmKDgH5slnYEUh2TNGnp/uhaM+r
V/V7KKXQGPxumxM0QwDtYD4Tkm49ueXafJP+ergZESHIltvsWoKvN5bxjAaEJdA22Mp08UQfTUtX
NIGW60bzHLZHQ2nvpARk0FnjH7PAmuvl9w6o+Kl28HROs5yfJSlfvSh2Yzwe02TqL2JCuUR3czJ1
h8FnHclCOfePtqlvM2sNV9t/841PXV1YlwI6sQwA7ll/cw19a8TqrSzsbdXzRgqHiPp7ijg2K1JO
7juUvSat5xV1dXTV+HSh5Tot0+sv156IoBieLEGbd+4GLRcyxdKhxqBOmG3pOjsPnk8XyZUwpIBz
MrTB3QsiOTPPPXmpvltmuta0/IReE2BYo3nMQYvHGivh3/Q6cqzib6Qb00gPjdI8jdpLWn6bY3yi
fCZI1Lvpogvxu2+R06yVnTKKrNmgA3+hEj35Tl3By0q3LAdaTTcXaiCbsTuJUas8zb7xzG3b7FPb
/9I0/5NH7TRVOLduE6LTwaShOkArSj1C3z2Ljvwa7CUUu1dWILz2oVrELnZRzHUuslmnfneH4TzZ
xcZTUDRMZLsKvdBhcNtwqte9rQ1LuGTxNpfOdcy0vRvPP86obggcw91DRqwBGJOiGzgp7jNmrZiS
mxL5w4rBZR87t7rXpaD4JXOK00JM1OPCt5676UNojbHx8umOifwC6/Fmus4eKQZ0KRFtshgPzuo9
VasKJjnviLrfrOuVVK2jT8wJkXIE1vH0TrK86GX2RRfSRhorCp6CktmN1ZUoYznT/R2p90eiSNzd
in1bl+84Xn917JWirvInPJF7W/mhXVkPrciuenUmevWcFEQYTuUzcNJF1D1WMuRAE26grn8S+fRI
p+bB9oatAQio5BpkyePsTqTiFMd6+JzghTe+HPsnuh3v6ApnSU5eldU/mvPRx2Qx9eJloOGD9XBT
gZmbwx5GCq1FO6PPXs+iYZrSKsQGeXZd8+685ijgHBXZmJaaWe5U95C2cCuudnYq0rLLS2lG1HSe
59RDI4niNpBocOwpEUTp0wqdD2LLDE3um5p9n0xkVK+7HPoFhkNxqJR0TNDBthvN+A8uaCoYiyib
BbFHKAI+K8ctQn3yWLa7q5gw0qxUmgXFNL3YMzRc2nnWDWpPim1T4O6T837J+/06oMEt7b2TUUGF
Cmq4ZoNzlvF3X+rAw+T7180Ou9e2KDjrc7xZYxVkqblfi/Gry5yzrtx7o+k3prXubOqDafPj5P1a
zYO/1lexXD0I/1Xe6xVLiH6yPaLOLBkabRr5SDgLUnPs9NNiDiXrdcZiMkKVFLfkNqAZofT5M2vl
meiR91X2bInje5UZJ5rs3A3pTKFybQQ9WHYGMDNj6XeiOnTwETg5nmeb8CdvNpLAFGetLoOsaK/E
53LYNlb1Ao3w4a09ga3uN1xpmOvD19rfmuy05qu3VSjF64Tba081HnEhBi1WnreVyt5ZJWLiuG/e
Uw2FiMz0e7WSBKfWe984VCNiTj3nQ9aEWkMYsc7WJ6oI9xynYPaZuf2nGdu84fK6euadOSxRx2Fu
GA1pbi6NmSI5J76G/mf2o0ToW21CMq5n770meL+KczJ3Bl2gfHv1itBHasEifOey9igW6dzKt9qA
MhXOzreXqPYcPqkOlc9rGSnrnVgsj+ZHWjtm524R/R+Ha62g5TBcOpPgBsKPFNTy7S4t8Fh4V9It
7Yqw2HF8xYd2TBp0YwAbD0N87yXibcmLQ+f7uwqlwt8FrgiOUV+fqM+CJAboT9I9gqpj7ifP+QiF
Zi5TUK00idiU9jL4EdtUz1j+9Ddc+N89bEKWt1Hfy8sI7gPVuFPNcCiUxxNtOTv41N+JixLDcbI7
6Y3HuS3uXSt1O1C2IZyV8UykMJ9NxMAHa6BG0ZPQRVZ8sAT3AX6Btcdp4KeXnJ/NJZa58PejMen3
CZp/cmM3mUHA/O8mRqJIWDw+tQafX8WZu3yye23KiR9QPZU5dUHU53TFLyv3+FvqjzYxN2TyoywF
2FW/LDCnbKUTYp0eMplvc7Kh6+LDAV7BVbLJl+zSeTUBZudy4CpwCQz3ImQdv0fS5k0O+GIyzmXD
QFsl/E5ybjonII4uENIifLreOZWxNVp3k2vsdKOzpfQzIP4BdxotZ3bz6iI8z7OPtX1Lc6m6TZ9V
10yD1UpNRCT2LlEqKArkIqUCLNaaC6oGgcTFHkzeMvfopciYbTREUWZ2h9zUEVfzg6oTcsj3vnOe
ZlOP35yW+zjNI6aSqHcMJlIQYVeDW1QklFE9LxX80LRrk9+TaYcgnpue6VEvZXC7XBdL7WZeyLI2
GJkmFKkujyfEi9LXF8MQW9KdbQpSYL+t/iHLlUuaz4QMu4VhaR2EAJ11R+fk69T9aHayV80VALTC
TOWjf0HphxDb3pXtl4dy0U3PYvpcmq3yvTCWDo+Xsa9cAL4fik0ORXWVbXp0huYk9TJ5R9e5l9Q6
l6rboiragMnFHPrmdrDtp9Jn2BqSA6v23ijn8cd2qMaBBAo7wMPGyS3e5tLZJE0CfcGGUbDPoIHO
UB6U7xaaYkur7zNIL1IDhtds7rqDo3uQgznSJpwHKW76sKaEZyMG66muMGHxNxZdNIshqBZypTte
H92Yn0Lu6RtGRkXfGDWDs/gt3T5Umv7sQGH5a8vK0aUDt3hJZ6vANzXWLE6rkF8EpiO7sX4P4zQ/
1Mh5Lex1KrZ3KomPtvixPfWr64+WYiYvILamE1nQd8pwokyNzkONl1pHf6eZPxWxaLIhXrsHEokZ
hWpYLEBJPuR8gvBrRiZpekLvtmRabm/zDjWJG+mu+CJNkJz8OVt4o5zqkC5fc7lEZW7dUZy+Rwu6
lyVik/6HvsWtk1mhG3/TnXgdrHmXIGoneiXIxxKFZn1KRHkzG27ytCZl/VEKhICPvFb0pGSkVKnz
6nLpsKs+mDBA5mig36rvwKA3oyci++Zjmf5YGUuFqZ5RmtyhWzh7HJbI2sc9CR6QDf09naQB/QLk
uFoo3FPEXHiHHhS+WGPUNp0+W6HTG4W5saYMuNgyNsqHL1hj7cmilqYVzhkO6NdCVn+U5CJaujY+
ELeEmmHVrpi4GH30jTDy91I8wn+GhLwHRkEtLgH0G90p+08L702HWaCmpLIqjkbe38fA4pBExAVt
StD9Y132oZfUdxZRs00KO2i4ik28pxPc2GiwKyZFqQ7dyWmhX2LGn1pSm8ZcjzlEdvldsmogiNW2
62y5pzoMDNwUZNuN868UP82zWffRyqhYsRYn+mdBfV+UW6W+7U0cyBpENc1nz1DuQcX+oQgTgchG
np9m05HKgRy610c0zGdwyLIIvayMfIfsepofnyqVx93W1fgAeyypQIUGJet9ST0h94buq9+iQG3X
tHF/JIdzOJkCTWmZNNqP5nv9NjM0cNzuu5MxkiJAWtY1dEUk8LteqsIOgiS3YnsDHO+pAAvtdiVt
+KzBAeMMrPcTzbHujIoNw6Wz6gd79MNCenej3b9RvX6jEOgPaMiG7zCCa4kWYND8rJJpj2JcCxWC
im2/lhj1AwdZ63ZI8uK+s3IsPSbT+rwRIirbKqTXca+880Cezka42MuYU+2ajt2sfWjlfkxbdzvh
xPCbg6vGPytuFd47gmE8aLJNTs06H6QewyJ0uLu8pqTeymAoPflBFOc0b8hTGP4Q9xWbkcJaDdDu
632887F4k6xeULdN3nOL00hbgBLpsvP5IoWdj3maZuMraCC7VGki5QoLUuMpBC8b/6KPmME5LIzl
bjS9MTtUzKzvMWEZSZQ4C8oEfIkoaQfS8K/IpUk+b9bSOMd1x+0z8GnNcIYarYYQXIl70q/YC0ya
h5FodJX/Pq9sFvt+cLQJUYM3xPyoGBZQ/+rwRha5H+ZWumaTB13qmfc1CBovRxOFzo9ZjL//huX+
JfzyPwdO/v8WR2jeIiL/DwjlnA3rT19+1vzG/gNIefuqfwMp9b9usYKuf8utINXnFg3xD5DS+YvW
Ztu55UW4ZHyQ0/A/QErxF0kqUMLEVJIkReDCfwQpbzFn5CARXUsHj/svgZRITP8JozRcCwSdVwHs
j+rA/aeEBCuTEImZyYfEXtP3wvbxI5h54mJRpR6GeZkQAL9YoYFNnvMpFV1ozHRQVV2Jw2Pt9G2b
4he38TpcfDm0T6m1QGCPzWGIR+NaLY1/KrQyOfuKeBhwRvKGTZk3d6jkyGUm4+RuonDdcYR5aBPf
xag+yel4C9Q4eEUiOeJaDlZzMmYU5dq4H2O3OOb9MOwM2awfi8iNELrLk4cGocApgdY4GfnyBGKY
3S189d7CA+DzbQELEpn07xAXy/YW4bgz2/ahdJyaGouaMpFymugXIrhiL5A9bkvJvVVgLCvhBeCi
+jRz9p1JfMgGAnR5wL1ucyaBOSR+c9sNOntv2Xl7FMMw78uktnaVKaZvLmsccpb908vM3OpNpgcN
RawosX1sCTj2NrPGSKRZ/XRnyATNbdkV9CYw3R3myRTVlpUYUaNBjwc2dJm+67RWf5naCsiIbHQz
0T4foN9Qx0Xe7hpB/cPHChf5VSEaiYbBosEa85P/kRhDcewz1T7J0UpCZU9lNMmi/LMkZhIVjKFL
bA2BTEcVEZtRH9KGnIewxuY29ABDHglCL3MPXMB2mNwl1ipOMnXgO1HwTVGTSuR/ZkZEFxnqBkZE
9PaY9rWLlelkabtVswfIzUNcEpDRmYW/nskaMLljkN80ikZhuKY/MPXuaerHmYmgWR/WyXYezBpN
En4z79CMlr/3Oq3fAwPI07RmDjxh4R7dYip35bTgSJgrDxFo3b+g4p4ZZUkIM6AW9l0t0YAkXh7S
HOVgDtSMZzKUSuQSHYt5lSVEFq3xpl3EXvUkC0trrRn8270cCvE1C8H/1TQOvzr6eMUi3nwKdkja
YIYrBMC6TuTr0UYhdFfLGCuHjv0RYV0Vihjkk95ocai8lSGu6oao9Ukkdmd/T0eM/kpylPdsu0g0
gciwWt8sOziqSm8LyzttU8Q57w1kX4R5AfyWEoz6FPs1c4IukbdXeFVZxWRuvNN5s2KDm6bvZLIV
iLkFh4nyxgxluxgHNr6BKanO0j0FBjH/wiA9Qy1uzdVCB5MJJw58dTMHmYVFKenIfyreSxLZXdPY
3uTAKIHL5ZdJ8kQgBybSGvj+eVpBwDWjD0qjRBbeT6cymVgpHcPYW5pjXH27jxG8ICec3WoijAQw
sq74FQ2Ta9x13eIEGK/ayF18dCU8aM4Cc5Cm1L2pcnztZh/4B8cTGJ0zIgcZ1hdz6imCnmyUlk21
g45sIlwgRmhqvR64RvHeeFInakHEb3xUx3Oeezj80uVVUOCH6JhCRNwQPI1MT9Z1sfPHMiuZ8YcF
YWRWFPcI8OPQLgaPjpp5GS8oQXGr+02Ot71uuuLVNZclsrx5ZOCexE+3ILNW3miTbkZ8aZCbDGQW
Tv4UAEYfzpWtk2g2JxrYxjgQVl0lMxbexfXrS1p0+SlNK4cSu6LfNzbFQPG4foH8qLuUdIHfnWgY
DewKeXPbAtcutrvspIc3wVhL/8eISw01kuxIUFEDE241n0zqTHCLqV1bFi+FZjtACHPeYzAAWZ6P
TCeTf80aZa0BcbTFW8dH/QLSRqllrtXrQwNb7SXUQVvUnB+4yqCbUXURvzDLhidU2DUoo2u3B11P
6j0GQtmGuYlV7uYbzirtaIpkDheFPmFwOO7KbmrXMJuQTXqZ9lqOg3sizAYVxejuKn/2gHCg2ikI
NsPhRr8XUCJ7irLC+G9eftL85GDZ6XhOJiazpLXtvdkOdugX07d14/X9Ma8O1gh0atxY/0XxBKUk
I6JElYBFJTq2rKckMrvVzE9ZtW9uGgLfrr/dov8oZXUQ/vQuyvJi6+mTq2WYESk6H3du7WILNQ2D
SqFkaSMYic8pttQd2RfJ2TFuDwkc/E06LbejRXZDgELbiAjBF6d8lRcilax3moaSbVLa1TH1apag
JW6fi0yoXxnhs1t2eNLiCxa2bpwkAqO1+TDL7t2f1KWY/auHNBGMoP899FRlDeZ4y1lrt5wW8w6F
/ILn38ZJxtt6ILTmNAgzhShDPVMayQ7Y96u+aTsGVvmQ/rssRCa6cm3TyCbnjLwKzydRrUhH+xDn
3I1oUPzHhCSRa0k9ZDiS//VQlhlY9VicxyIpO4K1bnoTHsIqsjNff2onUXySqsM4XQKCBUsGDzTN
dbeXmbNw2o3lGwaW5dh7xoroFuxdl+jWYk8072Pb1HaYG6PJHti4B8Nsra/YaFsWjhppHlCoODlK
Or8JPzCvflnpD4ip0choN7kMK6oqA1ceTS9Xx1kk8WszLUgVkOVg947jb2Oey2Mfc4mhvHlAjGM9
aZYp8G6upPvKwWFvbMXBL7I59AYn/egUpqUbx6J9FITUHGonXuqtXjsH0XG7cC57/MthBdd8Pcwb
Zzk55uLeMjjUHODmbB+ShSaR2izvJzC1acdYtWLmRMh9x1tM2MEgVH0/A/68WoX+Jhs+UQvpCFCF
ZeOhVCQiZ0zKXdPfuqiq0XoxY8RYSUe2C3p1zxL0Z+ldiLi9J/3eR+3olC1dCqT78Pmw+lOsd/Gd
i//4QkvW9NgncjkYsujIPEDAi7ABCV9jQeqYFKN/8xpLKq70xeNemTxxSbrYOCWpp+38REHy0jKL
QdsEuani85q6tyYsjTV+NoncguCt0mDs4nXnj+lek20dNVN1N3u5Qdw76PBxsgV+PnZm1mVq+AB/
bPxk1EJsmqkv4u0cj/Yv/AKgmqZH53edI+O5tZT+rs1+ibyanvombtP9mnjrEd1V/wxdPHKFGAqU
0fBQghh6dz91WjtEJdw8SyXe1CjNXasLsjI2foEVFizmHslHplZ5+yZLkp2IPe2pSJdb6EfsIgOe
McsAHXcfPRQzFAbu5R+yOUfjKY1rlKFpK25cDggq/kXxq89uvn9qJWxzB/RA0zv9dXvHzb0Xu5F/
ekv70wwwlbMfe6FXYapNufYpPhuIh/CtdtCB/vJuj6jQv/S2GJlAKu91dQnyCPlT7Uja7U12WTKR
pM2TbUsgIFaGXTcV6yMURLLpPFKTcGwB+gz9Tld97jFrkeJN8EYV2s5C7ztv+NXR3DebWXK3OHq8
qxKRbtdlyX+8ahUhFjTrMKq/OzqKItLZtLe8E7RPTev6Ui/rsCXljmI6bPZxXYBc8d6gcT/XPpMY
CDajqrM3qg9RF2i0kY3ZzoqPjwSpdtCmz3xwEGgP/b0si+TAnPIAH7wr3fbS9+mP2fjErNSPne7/
kBbwCPb1bRVYMBqdHqBmNc8Ow9KM3qwsxX1806QuyiCOCNxOUL4APkPAhp26hz5xuXuWZNlyEBb/
nbzzWJIbSdb1Cw2OQURAbCuBFFVFUdTsDazZQ0Jrjac/H9hj51aiMAmr3t4Np204PZ4RCOXuv4DB
xZse/aZUhCd9Sucf6NaGHJvDxBPNaRHD80Oz+QCKX3POuG4O5SUmx1eecACW1hNqA38hZxw/6YrR
fsIegYJ42II4yvUpeEL4lvaEikdTYempO49G9tHPDOCazji7XdXa90mDasswIxTgyGlS70wA3jxz
I5/O7GwqKEXUQeDKQBmeBhWK89FJAcOHZh1/CDr+JwgCObU2vVGHUjk3sADOdjmTLYQpt2sGOfWi
BHDrrbmgBwBAan4rYMb9VAUWN+AViwMwTVxY/KBfwNXyvdBR77FK2pD5qM0qh7FhnjpeOWM0ntK0
ASdNA70BVlcBuOy7OvQMQf1rzuhQJQO+j6kfL11/PrCMOH+4e6GzxC1AfqQyxzeIHh2mIfpmFoKJ
aGDkXvIJwJWemafa70YAoZmVkGHF2vty4nKNdfsD9PnczbtveRYcuEy6j1k0q57VzdnZNPz6aMNS
g2Rr3edZO9xTX2xPQ532TzjqPaaiem9W3Uz9I6i+AkM2PmAKiF6iHjdgwPXwjVmhmCcGXCesOM1O
dWwFF6kr/gk4JwQVnuDvLMQs3oTaqB+rzKT9l3b0YWKreoozlvesDwOs2wzayzS+6WX0ZEmaEaId
lMtQzukbf6oyWBC5AyM4nJD1aiM0suZ2/HcXF9p56NSBEpiymDoCVuHF3aG1QBsUSKjfoGMWhWP0
2UJdAqfZwPmgUbP52qFmSGndhwnqDYPafELXgK6kmTkgSBa7qscgEvyRRMFT5Os5np+gXSkrOrML
chuUw6yZhyDM4DuK/FsAdOqtRksgcHsoE48yXxhHQal8o54Ue1m2yH/5qQobupjv534mYU3R9rTL
/H1F95c0Mg7ez4PveJxw2QcpYW+FtTofKrO0DhmE9R91r83Ipigsu0ktq38D+Sy+ylYijdaOnEN3
v6WCCqChSBD7xpexsjUq9mbyEbIFJul0dI7tjFDbaM0JwhniE4uBxw9qfur9rDRV5tWlyA7FqIC+
6PzIs9Sp4H6O+b7I9sEd5GBZxgIo0x/Hd9nU2h9ryOYU06LG/paxMB4acIHUO8ryDS4H6sEABPjJ
RmX0YHWj8sOf6b5AuIp+aa1pf4N2Gl8StRk//auQWQXA09aBPoMnZncteom+cZbOgKA5vF/NjoeH
f3X/J+aqGk5/Viv8sCZEfN6WoAbiRdDVMlFPS6boibQzfqtR8nv/+gLd/48AQ4vC2X+v3h2jfF25
W/6Fvwt3hga60FyMBSxzIR8tJlF/F+509X+kxB2C3B1SAH51SH3+B11oqf9D0U51BEBCg397MY/4
D7pQ4jKC2jGFO4GXoK4a2mvQhWtooarjamCBKrQtVWA2tBKcNajohE4uqdaPUQeDiWfJfWsG4Wen
MNrLs0mhRz3R93nuW7IWUVV1C9oWnnhCCubht2rwX39+QNR5MTn5VyyDNGnpQHg4p8BP6zIkvFJO
RXfINFptUkF1gvQGaoTM0+TNPwhumibcdEGtcm2goAqo6jlwfQ8CVfQA5beEnlEZsFv8wq0zQre2
n92bAzjs25EXLGr5TNFV/T1uG6c8oS9oUcnSeA4vNppeqdDAQIXOiCZSYZRbp5rSRVyUw9txACN4
Z44if6CCGp6mDJ24IKGKCTDAPJBYc+Xs/KC169PvH4RC82JUagt+2fUPorCiJlpgh+ha+D33HL3v
OZYogkJXOPpzVfzKHL1GulXtGregdnHUobY92aqp/e0/BNr4v1jZLGq2q7lB9lsCbwVeuyjVX/+U
2ddq8rsi8lqsFd7EeU4VNAor52KqYZeCug6z98rQ4OSniKr47qTd/Ks1IurKXb00ezmn60cz1FTo
bE5i7xnerdV4l29n2YhnU3lHlleoq7L26BhaM5ko4lX2EH0Qaj9684LDMmtberAvm1PaYGFqpHV+
5KkYQdIvmrev/15Y7mkax8EiQGytfoS98Dl8n8s0RP72XRWVlFC4zd5GXaNcrLSy3ElS8uYyqJPH
BIod5CIz7/+0qPm5t3/Ly/PCwkVP0mTA2NK2xEoNHn9PyNQN4CakKfR/16lIjmNstSfYL/7pdqjl
06+XxrNQcjXq0udxWcko8XS1olmJBlV3Xym+/weln+l9h2zR8XbAjbW4zC5HNTBjzOyX8+vZ+USL
PlbSEgQJRn5UI40qfxAiN3ZOwWW3r4bFRhGqZSF2z9G+ipJLXFfVFuBSNZQ+qBgqO/MspztB/Qt2
GCiDRFg7X03b+GwEpaCIkQsr2VjNZQzxOiJ14RWJMNSx47nyPm44DLNUaf8AphqCJxtR0cLv6tDZ
cxkdhoDNhBW79T7JCv2ktXCF7vTOkZ/nfkQ16PbUv/x9HACLBj++uEszajUpnFO4M3dF6jUFoJh8
AeON+CifUM/wd0K9XFZA6YEDU2PiP4C5XH9l6iso2xRi+cqyPyhlFN35/LBPAfhQd7ZAu75+aMDm
BF041LR5aV7Ho3E1N/ThYpAtgOJBWUuEn1VwYSVMzteHktIAAMPKYiJXs9hBaMdRO6Aa2iNeIGAW
u0YcIks4IB59O9TK+WvxrqOzaCM7xAMFXsTaWCARjYX0Y8XuRIxDHjKhIOLWQzm7c1LfPsQD3kB3
Nkzyt6AWJ+p7ooRRjZgcalbOryrTsIDthPO+iqbhW9roKFsp7Wh6oD+MHZfDlzuOtY84manzq3UO
r+svYA26RgvETzwfa6ClxWIhFEMRjOPNcFUoe8c2J8u8PUHbQZkg7J5VPv3qoKQM7WtFPiUeElsN
UugZ1U70quxzrcz5r3KywrcUeJUft6Nu7SNT/b+oa536CgiHpsIa90KnFeDH+qcUKYizMo/2zjZ6
eVgyqTSQWWW4VBprO1JqrYnm8wdM/lhwCTriDcgBe8dZZuPgug6zmsZBllGt2XXiJVg63ocVqJwA
ZcizFqgaDgwUpg50MjpklDrlayl9OUNlHrOFnYYArUof5EkZc98tUHd4lAMQiNsTvnWamAL6GDsO
dtraTLsnv5/6EImwnsft2ejGwCvBBX7sQqf4Ogy6f74d74V9xbLvTJr58JJsXFmN1WIu1LI151xL
PKg/1o9WddSfU4+qBIpZrTTppDjDt7YPc7iF0n5CB6cbL2Ttgm4J7XfqO7qv/jn0M0IdZiRks3PT
bM0HEAV92Tu2znvleq8NgcNSC8Exg4gbPiLogWmALCrlC4dt8pDje/fq69TmGWuZOkerraLreh2w
G6jiDxbgqTjQ4oxWGfcH6Knka2vxT8hTjfUhxg/66fZ3WNbd9S1ua9Cu8fnRGCaIh+uwSahpVPpa
8NosOjoWk+9Vo14c1dou3tFCp9auo75Lqx1oOq2BnWWwsc8JTy7x+1gT60eEXlEXQms883Q7D100
i2uXjjptKQPq4u2RboXSBWuOtjEkFWN1X8qCd3HaYvbQYC/pot/YUJRrLLQ3FvLH7Vgbh6aGvTHX
CbQ55I5WH9MCk7HI8qVgStHFsnPNhmIupDuTObgaqihUFJFcvh10Y4AAYLiiYewJbuJV0N5oZr8v
o8AL6y780PiWT1tznh66RK2Pt0Mtq3+1akxNMpegZGzT/G3H++yFmdgy0AY9wIa+i43LqCHj7qd6
59KZbu9Sshw3QqbpAsfq1+sD4973+90DPWRt4sRyHXyOcsXVzWD8hpIZwumhHp5QK5P03zrdi207
+by8fvdSqI0TgZcCXEiDk0tgIXW9U1IhalEsWj2KcMJ3aRX8mpsIk44pADW9iHPdHulWOKJR1OA0
4Cm/5L7Pppg0mxzF1xTET50QaYjJ+prMc/mlCvP0g+b7+s7MbsbDRFkFRcM1sM5ScP+ogD0OiluO
bYOGEfpRDdQUvN2oDatZu5MLvlxBILnYHirBlu+5/Jxnw4stGaBh2tNg8QFYkP229y2tAA+yV3dS
wvp9Eqofc5A0O9Oqbwa2pIaXFIxW5HavA0fgMMeOPrzXoAnSu8CNunfJWJrjyYpH56kwkN/3xoBd
jeOLEtH4bZQpeSgtc7xYMU/AQyPV8EFXxwBgeqjW/04LqB3uYMTOFwT5HPidMzLvlhQDflBBOyGQ
XuWqxKJCQvwYnAY1Ri3NFTcKDPUPLLLx7KjCyQab7wRi5yTaeHg4Ek64wRErdQte//V4a9FJPZ9B
6VatmmI+P5aeZgnMB2hsuYmt+QdUYnovV9XU7REJ4r+DJa4UIj3SY9cO6ONOD5AcTRyhIZjeXuQr
B+Dl9c1vY41LnauHE3P163RwF9HghJGHmpp+aOWsfyi0DhFjeMkYu4SUoWHW4R3iiAM9BrSsKUEv
6oXOTlnt5eGJAAXgQxVDLRCI68QyM8CuAmcLPFMbLCAKWCO1BcJgWV+KnTtv65OYaDSRMvPglNRk
rj9Jg7BWq/UgHhA7UZDghUV232Nq4SKIBSHC0dv4s2xGpDRAHfd/KUpotHfDiKeaac72vYljySGd
MxXtd2kd4yADBHv7u7y8vyjwUk0FnSkk6exqk/RzmYZlC2ExjReJ7EpP3B4lzMdSlranQ9EBuFXv
vQU2gy6zwmscRzljFTRo7F4Vgx943cjepGS2NNRUBxPhes6Tb4PNZpxxHtj58su5fX2XLcXs/xd2
da6bClxKZRGtVeMhvgDpqCnJ0QN+/YwaAuEwW+PGJFG7/uaBgMyJ7mDoRYVhwoJMaohryFLA4kUa
N86lN45QWm8H3aj6OSxnXEItiwzHXm9+HSWxVCtE6Gk5JotpHiQHI+hS15TK/MHpI3LH5Wmf5IKz
oBiBt5Ig7y335butJ5hzhzIRRAIVE4rroTsl4BB/+RFFlBnvhADxbQGze2umbfvEp+2/WvUAi4aT
5tJGQXYpUlk84oqk3JsYzL1BawUZsNsz8/LZiwKBpmL4Te5nyPXtqplkmLVF4YiHeOk1MN4fcKIY
jshHAa2Ly/YRoaMMmsFgex1lWfd2+I1SOvFREufMWyx41+lFB+y9B/TELWRWDUxh1luG1+ojhmnD
Ae75iKrtMKLipqXxj4Ye9Jt8bqzanf1QUGAojZ3reOv4E1yK/CANeOfaxFFz2qqvwBlAO4gmlDa7
4Qgo9IsdwLu9PfTNmWdV/q5MGtxL16uBDC/DVX1kIySJRIhXCHyiHPVUOlMz3rWLULjaDcZZy7Xw
rd+P+vfb8Tfuf7pEeA1iJSk1XV8dvpoRlWYImdlLBdW/qfJ/IgDVfRpRLYcKG8YX3YQXNdR18Oft
wFvnjNRVeie472mkPNcDxzgdraKZKU7VcjjBwU0fLJ8K+O0oy/StNxu9OJuzmy6djWTH1bvKLGhX
2VoTel2Zw7hXUaILG1m7TmEFn4w6z3YKG1uHtlx2EoV0DE/V5e+fveOUudHo5BNvjnTES5GwNO5y
vwKhXlaO8pm3DeryWYwJ8u1xbsU1mUXA+th542t+HRd9LSzeQiXytGKKToDCf4TKpL4zh+iXoURI
nZnGr9sRtxYOt4SA9kzpGX/X64gYcqANy5Pfq4WKYMRctbxRJwsTa7pBXzUkLmhypc77Jqt3N83W
9sSIY7EtB8aD7OV1bJxG8sQCf+fZcZ65mJMbblHU4dmwHLFzEmwtoOehVtdhnqcjcMQs8hQbKK5t
1vLQo+dyaLO8PTYaEiW3p3XzQ5LKOA7VJ9rL6w9p8xEdrYpwaOIdXM+2/ab0USjvRmQ0ogSxzGxK
/6Mv9F/bdVvzSSh6Izw9WULLt362akXTNIMPuN2bBVYlca0g4Q9o8EiOPuws1K1tz7HKmQp+REM3
4zoU1q8JTnoljUFKbEc9oDM5lUHs3Z7F3z2d9b637KU2bHG4UQdYhWmTqhVMoWdlUX0/6VC26FzT
QFOiqjwDOn3s1bj+rqEX8cEShXZ0qrL91VZzd9KbqjrzCBxcoy8ND7w6/Skd+VWBAYdn6XLPiXnr
k9MHpFMPNI869mo1WzgRJW1a4S5oqxEQ6xybOmBoXq1GsIkBdZ+Acxsfd2ZoaQ2tZghogG6icaRR
nFknuNNoFXlSowmT4ZH1qOvdVwjX8xf8foB5T6xwravSc62F4Crn9tKb+rDTJN4YN61qQAPCAPJA
I/T6GylNmwZtTv9cj3LkRFQgcGKso7NjKAIdFCs6qXMx7tx3WykWRRqdChtgBVPTl1/1bK03RoEn
cE22gXdcfQpL2mBub4UWxPa8pTvVw2DVRPZGa9v+raIt0nlzFcXHiFatsbMZNvYdv0U6BlVVzrJ1
5tMJPRuzQKB3bAbqUXB2Iz0RGK5hTP1Ou2pZ8OvPLcFnUAijTaiv6/pBkOpOOiWgg9tEE4gktuF3
I8OxwqvosZzyIEx+xgZM6DBwHIQS87q+3F5xW5+bEiAfjicews/rk02UQTt2EAJoPYmHvCuMCzSR
6JIG2q9KkQbkMUijt2NunN5UxRg2D24dcZXVx9ZG0uM4TOjWaFFywicFI5KoQ4lZNdNzVybhl9vx
Ni5FdMZQnNOXm9FeV1OsUfhlLnPigV/wYGPmR7OFqhO6zV9dKVCWxUBk58bYWETcFWwgymI8ohcu
4PMF7UgFjcGcVgqX8YTU0yBPqYFqtwGf4en28F5MJwmLyoVPh1ta+m/a4fNQFX22mSwe45TFkJEM
rTnh4VCdc6EorgKEfGdoLzcrS5WLSeOBCOONkNdj0yBeQSRMALiKrrlQi5CerzgphoBqUn2MYNii
J2mhnGv22hGBgOJTGEObr0D07eyfjaHTyNZhXdIWouG4OqyaQVa92lKlKtTF/FJtcq9KjwPNqqLO
jren+cUduYwaSUWHy5hS0Fq3MK44taDqIwiN87N6p5nZZB6mcjEnvh1oc1Dgl34HQiV7+ftnZ2HQ
JhR6VDwK40TBMiTwK5TUJLpjWo/izYSRzu14L69lMhyWKosUHxOLcuN1wELV2m6iZ+uKri5PsrZL
BPnr6A3IuPBn1dDBjfVYILg8jt/BjbXvRDiK75mKRkbQ9PrRyp3xrgwiNNjQ/vheIQGLWLNS/Oxh
A+4s9hd7efmtPIhoh9MJ0tfnlROMqeOXkeL6WJDeg+cOf8y92n3XkiCYsWys6++InQN6rzNlZ55e
bOklNAKY9nJakyStlj24UcgwNg0LtW2nSx9X+qdGceSxduK9+3BjrYE25EUGlRjIvr1aAuPsJOYg
MJsr8Iq4R8B7PFBlj77c/vBbUehm/e7lWUvGcP3dQaVjk2TECnLTqOySLHQPXVnu9eY3otBkogGj
G7z7dGf16Is13ygoMPvumAnjoarwt9F7uVfA2Yryu2pF1o7d7LpWETkgaGxr8BHJa+1zXinx0e7z
eifv2FgCpFbkxw7ZOcNZzZjSKR01rHbpWUXZBfVP4wiJGdcm/M52ToEXoSiHg19cuhwSRIO9CmWW
FjaL0pFuMOESPQoj+pqEc04ZLgv+ur0OXuwpkxoT+0mlimrQMluFGkSpwm8YCFXH2n2tCd+rExny
IAd63oRN+G7yJQrHWDncDrwxRikRgeWpuyBbxOqSrNsugbsBYGBI7OhdmvuBK8oOLt2s2zvvnI1Q
yOI7kuyfncW7/nqtl4Ea2EGDVoeEHnWI2x5JJklm/IBZB+4bt8e1MaH092j8Ad2zJafGdbDeNCts
AQbHtce8rQ9VbI8PUNcQKVSaxvoTrePyK5plMZ5EaZC+9pgygYqQytm8EOkcrd+UiY+GSqYlvlu3
9h8RBNb7LMgm9jj4lNcPE6EDCntcwuaLtyMOd2LggAIMOi7SKA066C5FOvT5OwheqPmE4l5kTv41
8Mv4++3YW9/TpNgI0MvQSFaWv392SUayV2KnNx03zUgAstqyPKNvpWto4R6e78XRwoQCJnMgGvPQ
AH9zHcoHeGrkqe8gEYkS2qjO/X2nmM3OgF7c+kuLCdipQYVBGNJcRbFHLUDRzrBdHvo5AgNTcBiR
NX8LWks/B2Njvn6ZWDz6QRGrJPyoWVyPSoIoqIsa9ecsKkH2hiAx6ZYr6NeVcuee2RoaiHtQcnSJ
XyLlkiHSQ1VBk0Wh1nzfFqjzxzRrcVuCEw6Hf2j76Hx7efyGt19lVkynw/uAz8YVyj9fDw9VKnI7
zlXXaikH3fVTgXkujkuaV0xB/wGS9yDv4nRCbK8ybPjamWLfK86sHRIDdU/HLGCYN2r0+fbv2li2
/CwH6BJJAc3O1THUw2tqGD/M0yHM/1C54ns3CPoJtZxx3kFLbcQCA7DMO7VknZjXUyDhoU/oYzt0
7ApwB4VhIVmG1ldoZPrx9rA2DrzfqD9ehKBKdVgSV7sRaWM/yFq4kXXTZ8cQGjBqybpWHGwVkmEI
vfWL3c1PjZMVP29H3hwk3xKMKfgnztrryCjmxKUNL8edY4T1qt6vziWgX9xh+mpvTb0ozlCDQ7Yc
JADxeAesRok/vcCSxWSLZoAsK9HgUiuQFU8GoV1Mu8qOk9H7p0oAxkS1fzoGcNNff4/ZpM0LBoJT
CSHt6/HGsxbS9NQwI52APSHdIO5TNEdcBPjEt9tTu/VRgc9QpyPPgyW7Gi5CjUM7RRVSSsJS3vUR
Irod3eejL+LAVeMYA+ZGzzFEWuT2bofe+qoSpJkNfYVtsibK1HoL0MzByg2P1Z8Lwe4UGESm0TLv
lLs2I/HyAS4M+IAS6PV8VsJBx79rbR4eeErOJo3GPil+mMPg7Hy5l6cgKABkz3nr0Psw7dWjYACY
N9Ios904A0BYRPivyaFGhDMtzMd26tOdeC9HRjxhgZUhN3aomV6PDH26BPUPxXLboflZ+zim9V30
bqzEeHrtxyLzpdsgmEVKOvrqqC3I92RbStPVQMKc1YAzNQep4VbW3kWyNSSOTzpibHaVTsP1kPLJ
McYh1UwAMRqm5JGUkOkzSOO4pPyDQXFnkfJbPBedde81xttw0tLaxC83JdkDxA+8EVWUqHW6V9/E
tPlIkFjp3McUca5HBSlrqYuWpmv4MfbfDf5do6I0gBl003v1p4JUQDam8ximHbZaE6UCVRPFEdOV
Ff2EOzRSELnQ8+JdN8nhx+1YG+t9KbrR0V+GBSTtelgd7lgNHCHThf35Dejs+A4Dl86dlR4VBiAn
59vhXr7SQIeC9WNcS+tSrtZGauVBlWuD6TqYzHux2jtebKXRawtOHPx8qr+RWeys1aAcUtiJErRJ
+YGmZdb4C+akbtDcaIszNAh6GbeHtaRA1++Y64CrYUGJafiOrEMtmTD9QtfPo8hR3SntLN5GgxF5
jZOXO3O57Nh1UCAQFuwcddnRq5fDjN7GiJ0SjngIdL5x0JZAHHRKz/YYRseUYuqhmkfrAgtJXDJc
Ab/cHvPWyoGoSd2DpwR+DKszmTSwq2J8Hl1lnH0UIZIUye0WsVq+6hnMr7YDrlk+2ovhYjtBv4Nq
CNnT9Uod0P72YwMNVkOt5ffYbyH0K9Ug7+3MRuDq9uA2g6EeB4RrabSvy4gVCWpiNAxuRCHhoAwB
tvNWgQWEr8WvbXuzWNkTFj00rJsguF6PK7e6IUPszXQHNWphHxlobMwYPKipXX/gAo/fp1XxD665
hX6zXDzcO5RLr4O2sNIbxNVNt5oaBCjmonWdEVseoOFYX7Wx+vrTk+yPKgkNRcoy61cu0tsdDn0M
smwzbHRNqwL7KJSLoxbhTr77svC9TOhCnKIATHVmfcbkiLtTF2WhmEJxxkOvdWi01v2MqCyQ5rf4
vSqfx5qHkQps4zxqdevVEUIEExnGzrC3jjsWDz8H8JvNo+J6mslXE7/vDYZdTjEdW9TwCys0dl5H
W6ePZE8suEfSFme1M5SqCUFL9NJNrQDFdhM58yQ08E7Ip/5ooi6MTnhu7Vy9yyW03o6UTqhc8Nqm
sr9aQaKya2D+aL8Y5ZidRIzglDOMyOjH9GzaqRzcAAH4i4MFys7e3Dp4lkzCAmkHKnHd850w003r
ypCuxNPyXRLnFV5VU7SYSxhZ395B+Efa5vZ5sPUhSVFp+pKrmSyw6w9ZCKz1GmOSLoij4DjpBeYP
aavusLK2Tp3nUVb3lg8yO6qjmRJfrna4+TU94m3O4h+Am9rtAW2FojwPkICHhk5/73pAg4Fr3xxp
kjI5tlaz6s+HkN6Al5cy8m6HegkdZL5gNJN1cr5BTVnW77Mq0DymaWC3qnRrM+xUBGMSHeUk6dvf
EiPK40ucIOqfdZqTHnxBNdg3B5AbAwonO4Pe+oo0wuDbL0IBPBGuf0iUG12haZRQpQFlom9b602I
YuDX2+PdupeXJyLNU2DSPE2vo9SZ7weOGuB2iVUG6nC96WMsow2I7iFiEh5EFXY/xhwLikM8+809
VoG87W7/hiXGenfyLlhI/VDsnTVHm3sxLZM5Md3UUVB7acf5aFr9ULsAr9Bb1LXolzRzfHBuh93a
muCE/pY0AI+8mmA8BIs2sCmHjyPihTWNpYMWOhWVq94YjyXCWntKAlsRgaaBK1a5P4GAXE92Xuho
T0Wd6eaFar5vVCx9hoJzPBCd77UR1M+dIW6toQVWDIsM4VTS3+uAitL7XR21SMGPeoz2W4B2vTP6
f9yeyK3taS8nDZUMKGPW8iuebZkqDYQ1GdyXgBqRlhaB7fUpnn52kTifbofamkEqlrhZ41YNYnNV
QDD0IjP6gYPcDH0YuVLR4eFi62OXIPjrEd+g2/FeAlY5Dp4H1K/HVuihNsE+k25bJf0Dsn7YSnYo
zZidjSxfVTkH4QzJUdWQvK7K5A97qE3PdPzgYLZddHr9r+F+phAPkoZqpLnarWat1KhqkWzNVV79
EYGSrQ9KjffiIVJk9rMYjDn1QjNAAH1OtAy/KT3KHpGtwDcDf59yPE9z27wa3UKDB3QPr/rlDaqJ
9Rw1RofOGm/7CWqjN7bUQtvaxAC7sHZO5431fBVptYGqWOi+WRNJU7SvZZ3kp3FWzJ1UZWM5E4Qn
ytIOZkCr20abMH820pGErJbpWdQTz83Ux78kiPaeXJuhwDfqkIzJovXVzpllXvRdp/I987i9S+iy
3JdJ9Wk2xnLn2bWxcTjgaa1YS6pOmnC9jofYKWDOUxGwatEe00G3jiqwt7Nt58IzZBzvxNs404Hj
0OLgnKO1LlZfqosVuzQyTp7BgnQTNZZxmLRcRXbPrvCWKpLks6WGIO9v75DNYcIcwwmS1BiC5/Uw
tcFpLVyIqUYUs/0IvGV6T3mC5DKZ/beilvPOjty4Pmk30rpfKjo2PbLreHE11bkIZlIvLR6oseBr
L+sOIR52RI4nUIeqWDDZbzBuRhMK9ZOd+JvT/Cz+ssCeHb1x37XlzIHoDkJgHJEoCaq6un3f1oD6
DbDkB2wL9kgEG69p2rqwKnid0HZYvxlsFUFlMaYWCpdNeQ4tS8emSQVPUDnhufGb9GJoCSqSXa7v
7P+t4fIm4h3PUcMFsPz9s+FOcVmnFscKMrxheOIm8u9Q4TYO0VTUb3Faqs5dVr0ad8XxxvOEghn9
Tz726ngDwJFwSbNJY5vCIMlC5rZpHj9ykO4pmGydB5RIIIywhHXS+evxZVOdGv1E3XM2AxjIPQaF
E/o9x54uws5Ubu2U56FWp9yEznIv0cPEboCptKtYO6eaj/9GKfBS4yF0vL0zX7K/FhgAk/X7OqUK
ujqBrCBUGmp3pJe+r/ysMNa5d5J6EY3zqcb4eCOXB7VuELqMp75/KAwF3hdaaMjSxUPtKRGGEkmA
tY/RxfNHA+35b7d/4cblwrJSDWrBFGzgKV5Pvo3zW4r8guUiZdo98jL+awjwmrkdZOMLc61whf+u
QlGzvw6CNmtXWkNnuf4Av8+XCnrGSYlUa2TtkZVfSg1QKH0ea5X1RkhXOx3Wlq451aisOvVsaa5i
5tNfeug0P6NqbLV3kAYQlgdjn3w3h0YgsxhUiYLsrwlSzKK9YHnZ2NlYUypm/eqbdtEhohlEnZoL
cH2QWHhadj6oGNeMlfZ+UGrcp2tspcKhsney1Zcfl+yCGwnKE1Ud3vzX8650c6LacSrdXpH62yE2
50vpYJ90++u+PBmpMvNqWLL95aGyep6iQ26E6LOSqPJIO9pjWVx4jVHXSdJxgvZY5p+aAc8bnY7D
a3FEpE9kcDy/aM3SSlxtr7qFp0InT7p+y03QIJaMNlE1Hqc2Tdzbo3y5hglFs4zjn6yN5OJ6Ln0U
v404rTDZcfL0TRLG6nn2sbsjg/nyDyKRUSyUJXsJeh1pwWOP6K/w1RylBTyNADtsaZ61o2Ycbod6
ebXw/8/7iDcDL5YXRAK1KICRp75Anz+Pz0ETfec8a4/WGMe8+JMBsfJkj73w8gy+iilW36yaFDQ9
GmIO2Le4qo1DEfB7VInHMjxGCa6xt8e4tQmejXG9POfRaQd6OcRDz86bLb06BqHh7OzqzVFxSy+V
dvLOtTrdXFuzkfu4jWr9kBwGp7KhX/fmXZHM41kx7eB0e1Sb8ajVwG3jXQvD7nqRIOJt9sgyCRfj
JSQCpsY+2jo6RlVGBTOQzV7dYHOT05akJsMbEzT2dTyk+tOIOikrJbExGpANAlThNL6DYx4edL3D
OkQx05NeG/HO5bE10oW+yZuLDtiLzMSsm3hoYrx9ZdIG5zoeyUOVNj/Xo1pfcK39fntiN2phcFdp
mXNlc6KQDF2PtKp7vQJiLl09VPwLcJvi3pftfBfHA8pUaOF6PpqHd9zdyg/byL9pCU5st3/D1pAB
rS6EGXNRP1ud29yk2GFhAea2pZV4mDZawV1kK/LSIEBxmZBh3lm9W4cbtW+efHTUSRBWY+5KZwjp
aEu3a9j5sw3nuzXLyav94s9/MDQmmGrQIj+0TpGqNDK7qqSWgbAYqv19lN/1FkJfnTmmD4WmBzur
Z6PXQDTydJvKpi7Ru7j+nAaC6UOBjArn9gLNwjPhmGX4dYcBEvu6E5WXVAkwc5wG8Q7Bs+aUObip
GSZuxbdHvgS6LvjxQ6h/LQUjFYDWck49e8brgENbuo2SF7Xlk4IG/NGqmttXC8CngtV9hr2jtDth
t9fzUty1l5Y/8OTruClWCkmgd3zbGlcud64b/cMgjfTSUib5y+gU5d9yQmcBnxbxXrf8DitbBff1
26PfXGGgGxZqHIoLayauGTXGOAcldUcn6c5ZkYTf/bT7GKSzdvwHkZbyAvJpNmyG1QeHoUo1AO8G
N2tt44OPud9jJ5TmMlPg2JnbrUHxqF92KOVGuuXXU1upZoCPIqH0SUznCDkBVJPj+jhF6d5NvRlq
OX0BifJQX/PqUaYW+FNwKmEIz+KFWf1txlLP9c0++uv2BC4Lcb1QFwAKbw+AL0j9Xo8qTVu7nqUm
XLhSuNHiAPVBQ0t+Z+42zjhkdUC7AgdF9m+NiqpnrdU6evJuPIS1Z3a19d0e6/5RMfUPLdLvO4Pa
mD/koBYkL4Q0KrarT6Wnw9ij9y2w6ywhhCUmGv9wfP9Uig7lltsTuBkLEgiAXkK+EISCcDqILI9Y
FvBA4Czr1n0rxQ8D+57PtyNt3Mrcx6RvJOgLMnH1qdqc/qFl8ZZKu9IQx04awZOpBQkQzW6uDTSK
7QjYoqPcw+0ddr7g1skigGcvVVk+I83c64WCb7BeNhNvgkG14iNOqvWbJsKIRrGV9lOaIC7fWnGD
dTTn0n0e9yW+QWic3Z6CrcleNgWrCN0k+qvXP2Is/MmuR17LrSJa9VDpUXkf25BMQCGUzc7ZsrVo
F63Vv6t71Emvg9GY1gfVz0h1EodnVkxv4W6QQ3usu75PXDlXyvQPFtPzkMsSeHZtjOHU2y1+L64j
+vbSaBlWDlpov/O1aE8ec3M1wfBDv9YiN13jMo2xUMO0Il0cixwxVdKt6jTCU/JkYlsKplBm8tkf
rfqLYg7azrNrKzZKBvbSIFou7NUw6XAMRcWB4WJ9rj06Dmopga5lB8esDY/a5oBpd/ZnFJTpzifd
Wj8sHq4m+qxU15zV/M7t3FOfxUy3ttSTFeFH0KeGOBXjNHuvX6oQy6GG/aYkm6szKBeonswm5Wiz
aHELSeT7zEybE8QXuTOorXUqNIrrPNUdhGNXOZZCbRsFvMJ0Mw5Xt2968b4fa1iMk7oo7lg/bg9s
65EFQoZGPzxvWrfrAs8IdDhOF4SMXfnhnynH3iWsYvkw4sTww6FY+2mCpYfjOYSzSBnkUzbROk6K
qNnpqm6Uf2DfchwuJf9l8KvjIHJ6vTNr3pe42wR3Sq1Mj2UBfH2ute9lOZeU5s3o4X85O48duZFm
Cz8RAXqzpalqr5YdSRtiZIbeez79/2UD96KLTRQhCQNtBExUJjMjw5w4p0EQ5LYMAXU6ciFzyMya
GmcGQ1iEmKBiaEfYROEYNm8qLpJpBIaQANdtB9HCyjCGcOL5ziTYVgCJWL4sR5rbRcQM48xwGhSU
RxTcOw/5hdGNt6pzaA9DarxiVmcUoizdOQR5fvAM7J01geLRkBAkxNxWEIvQCZNpSkw/qdUvA6oq
57UHJ2DI6YMSyuX760dNXMftRlKvEJVwDFLeubyui6ROjMgppi+HleLKSaS6bWFOT4kixJLleg6i
dJJdLab2N4VF8nzd/J63MAwOAJghZj22YGDDSZHgSDHfJFBYhh169kOrRp6RxOX5b0wBgwAyTtyy
zRdWmL46XYB06yqebyBTLwMy/uZdquhHwfnuJ2SqhIqT8zKXebmpRpjVBZyj9LKnhIZOGanvmmFS
fIj6oI+qqyOszu4uvrK3OZjQN9bdBEO979RSflqZPvFI4dbAkeyjts3u0uicC9olOo7b7Me2l2Tu
KOj5ESQg99Qp8tlNmzpHtbhsxkdDT/6YehSuA4ppTOLhhhiZEYt/9WCbBQU7RJHwvU2OEsyQqG4T
ouzqpOEfj1JvTInFvzLVdE4ysCSQDutkuokyDH7XlONBFXnvylFgovtOFZmqiHAzr6x03ai0KRfK
1ySnEzTz9uBmoeKg0h3JZyMmAMxrJ7yvkrX+FwG1bj0IgXZ/gABDijovTKSb16wLw6WD3N70IRKx
kbXOAFxo4+j8LipdQg6C+25qo3SSEH/yFTs5IgbYO65IcNAM4ymFk2fzplQ6vMgEeMLDDeXiOgj5
TK4d29rHeU3S0Lt+73dXKyaN2G3YLLbgSEZHcyT2sKZ2yoy6GMqaK9SaftxDWmUmSQFVoxQ9WLVi
Pq7GfNSr2QvE6BRQ6qZvRUFoc6ZoByrlYODOFScuEFedym+DnEofFQNpVnXi42ZjjWp90XUHDm83
nxB0/1S+SJ7An18etNnqBrmdQQo5yrD+HHWU2ijEVzd2NTo3DSxqD5ZUta4odYBNZeSDakp91M3Y
ezSFyAFfmm9ubgeDNKljMH6huUwN6x0yz/BjRuGxnMmeX6LlCeerILVgvPRyrTmyarQQwKMbcvef
nnfKKa7r1J1zvQ+oVBzN3O+u6uUhAR5Jr2Z7hMvcTsIedGSnt6m3znSezHU5Kr3sHV0RAVBrY7Cb
YPByUQjAOdk8kPg2ajRrntSj29rm8FyeFsjQErfr1KgOuOjwrZIiK5E/WPn8F2hGnmfw7jRpoACC
0uPyZ0AKjOyJQqUtVNboq8xL447TVN5JlZX7VTRbCI0M9Um2Kw0t2by60eohPMDC733f179h6zRR
Qk6yDvRmstBplta4fVC6Qr3JBiVzZQDxN9e9xt4HxkNZjLQxp/RmWtkcZt20IkrGelVNN5XRqzcO
IgUfr1vZ84SUGuDyZcwGO5sbihJ3FNJwNPwJtY2fYd/ohWsXSOy5zhiOR7iWPVdk66IWz5QNrEab
PVQGq1/KlfhV0tKWKVPDUe/qZMpjz441ZJh6Be00tzT7NHJ7CKSPKra7qyVugJ4UZwCH4eU50ttp
RPyvpbRgTPapLrrlZgWzxDjDPB3kLWLjtmEtx1KMEwlt+21hAQFGs1zp3firIReRq2S941nSUvo9
WM4ggZnVzxYkCK9/zl2rL51hlf7Km0PTlJAWFaJzm5l5dVuZ2aeKqbOzDCnDvTRBH1hG3NTrNvc2
lSIcheAXgMm2/V3pJKMvxbG4mofHNpLXz8qY9DdMnB5qRu1dChHQUnbXFOpw2w+oMuYWWTCO5W1a
nSpodR4npYoOrt7eMRUZG1goQS67XdGYt/oAobDhx5Wq/WeUXTn5LeTz5yVBype5wuSuh3sNuFA+
HUym7G4mLPBExzwkFKE3J3SIEB5n8M2fh3i87VAEdlERNu+iNjqiH9k3xQgDERAcW1uyKUdpwO1F
lIHhkiuCxer/7eZwDCBG6A8CoB1L5JPIRsHdz0u8dTLtNKMplYH3tIZE9+CKCe/GyTZyVzcH7fzH
pxHedbrfTAJTPNy6mC5SxhktENPvlyjxe12RIGm1URvPyC6vm9p5ETAFxokjQp9tO4tr6gxEaSk1
kqgapN8pag8IzKvx96FtLEC1xRFAdecxpt0l/Cect4RV4ti+CtstZcoS2cSlKJVdSu+mQpI/1SE0
aW4+dfV0lyZ1bp9mu9WZWlyt3JXmafl6fc07F/BFGolKOOgQMrDL32AjDEywTOVn0M308+gIXVLG
NH9ft7J3YCjsM95JYYWWwua9b1eyVzgQCW6UEJW8fkp+NoNUuSFhyEEutGeKOSHqDuTK+LDNpuaV
0yE+OOu+7cQtsveN+VxGRDamfMjutmuKF8Gma0gXa1vJWmSqyzMDYr6FXnwQOWF8mw2Mcg9WlBwE
KzufSfQpHCjjuQigpy4/k2m2A+Ok6AqNWjKf4iS3zolFVeP6Z9q5AARjuH46WIL1Z5PG6YMNpES8
NqTIfYAyff2PPU7FT0fqfthq0v+4bm5n/wQnB34fLnwWtflUrW3lYUVpFWaTrn6HVhI8vM4wBaoy
HQUqe/sH5YhoZaGZpWxhSDw+vaGsNJeSVlVu7GYcgibK9IP927eiM5nrEJOQj15+pbDJ+poWrk4k
UJU3hCTqg83k3M1fbBtdPyAejByQBl5ayZwetbWGfgpCyv1JQtCb7H6UH0cr/ffPLTH4gpPneYYc
f7OeUm6rHtYZKu+drj+hxK3ezEuceJlJh/O6qR1fCJcPU7j0hRk73GoRFmVJL6cjkiyVXHG1qNZc
JZTiGym2vmpSHusueiryTTvM0AsbHfHsdft7ZxF2QQYs8cWiNX25qcRYDF6hl+4zByyfGeH8XOkV
pctYW5cv103tnRJsIMHKoBDVw02BVEaNvCigDPD1pu0E2fwCtUTjqPnBkva29LUd9XJJWa1ODYNw
3OalG75ZyFverovdMOGY5qfGWvvzWNRGEEtV6M5TdyTtsbujItcBoUzdeetM+rQ2p77D569TmT+o
6Fh8tOR1cY1Q+XR9Q/csIaEpwkhmT97Q1c3rStckUWnADSjBI4XrfIg7snRIc82DPd2Jx1kPNCHE
kgL6J77tqyd7dma7yjt6fTBO5L+cQZfvjF7O/o0ANNzBblY8GbM2/sWFpylB/9ahQWFsG2AdMIk8
hU7TX9JMQ86dpshYhv2NA9LAv76VwuVushzxvojKCsSPHNHN+jSlbleNScmmn0lmsnDoz6iy5/ex
ZoWntjfqZxjjpf8cOTsq6+w9PrxuNIYAVTF6vDHdqmo9SnFMbzNTGWWsaPiUyGq7vBFa0MllexBY
7i2VMI9ahhhCY7r4cqlSYvaLSXAOaF81bkeYfVx1Dlu/1KJO9BZVt+rLNkjifgiub/KeA2C4kS6I
4GmDf/fS8sg8QoM+PeiDGcZLZ55jxNidsjnw3ntmiGVFrY6C2xs2r6bQ06SoRd89K/R/K/QVznWu
LAeRyd6NIGQQnKx0J1jR5WLamEGSKISPbNWb56rIjHPdFdLZqqUStDYq5WkoVQcXYndlPEecU8h6
3khr9bXWqXrCyugK5v6kMn0+rs6v619pb2E8RvC9wfFOPW77lSopdugkwSqjyrRcKsTuIensPOLz
zk3yonaHKhkO/MvOysTjJ9C+DN6/IfCF+Fqu5EVi/MEYhtG1Urm+b+dkPkBl75sRcGJCfhCFm7Ul
cYR0dE69Hm0C6Xe9GPlnpbaOuum7Vugag/vGnYBZuDwacaHRlMiY3LdqU7oxI6Tp3WYY9IMTuPPO
weMt1PqoqgEn2yxGL8ZKTgfacIaV6k+lIv0I4fKFtl67y0Fkvevb8bs8o++gjvZRfWbn6YHTkV6S
oK2HinCzRKUGFFGEkSBfi5z7smtglNUzc3ZbZdatg8Oxaww6XjHXxRu07aw2sFW3eiLaPMXiPMth
bwWqUdAuloe6moPrx3/XGLvJ12NSlwjw8uONXRQtYCwtv2rq3zjH5iPao4gdrMnRdNHeMWGalfUQ
0AIU2ljSO6mEGiGkn1E07QlOkml1FzS7jnqaO0x5Gp4Q5gxR/BaMC5dLyieZ2l3Dx5JbGCvrRY0f
xrrsgmSxxpu8Yn7Pz6dV8xszQWNxHiP1eYSg/5RQm4+8dsobhiFNWLz961u9e4DBElNIQeqFksLl
71Jg/JfWgQkflaf1e9bGwx0pcj24zTyEJ/bDdqCmgYvObTQ5SzwzK+rmIP7e+9yUGEHZiEou4+6X
v6FKG8bdsxa4BYnAI6P9w0PamvOpndTDWHvHs4LDhzcFXCZ1sW2srSRGOGgUNKjaxvZt1VfSeTGG
1jM5cv/AFjh7apR0f3GeydEFCI1I/g3XhpyanSUVgAqzzly+qBPKtY6SD98LEpq/uKfUo6nA2Wi3
AZW63MsWkHMOezROQYWd2w3V0PovU/OiPA9NK+un66dn7/pA0MtAqxDQAYxwaW1EMiONIk5PDDg7
e87tGrZqvbGWvxjTIOGEiwEAEQdk6xEG6F8kMihmxNb6ndUq9s8Gep//rq9G/NpNAIrKGXNKcA+K
+vNmNVFvOm0Y4uNkasH3UNkrzyHjgF6cqAPC4XNylCXtHXyduqKoP1Cr2fJcod8cOYAGIT9wWvOk
FcDo0qwfTkMZHtGP75qihENgTQOU+sDll6I1PSooaTDBLSE61vVadtOOzRhUdnyEZtpzKTSo/9/U
5jprrW5VbeNA6qYxn9Cb9CnMuf/Wo6YJo/PsuNOqrEGst71bpFZ90CvZO5KA9eBCAw+Iw90k01Wf
GqpBu8vXO914nzFxciqmoj+IAve2k1yMUInSJZ9QuJnXuVhODj2lYCuyJWpvlnBBdh2I4gN04tPp
+qncfToYKhZDdC8p7ebTpVEFZr6JQBU1SmjctjlZrKfKY+u4EqSc0K42Ef55jigfP5lrhHIK0hpV
45qLqXwD0T+f1bKZfk29LlUHP25vt5lpBwzAXBMZ1OZbdwwx5Yom6v56UX9eKjAegHz/AjSDyDwl
NKBOIj/ULnc7iuvQzhQm54dWCQNL7/6t5Ea6iZT1b9ynGIkkcASBRHn80hIR+WxMKtBI+IeRsjCL
FoKDXFYQJs2oIR0wAuyeIkp1igKxFlmZ+PdXp0gdy7lWMkE7ZzTxd4cy4U2ay+qnLMzNg9L03rsn
6E6oHEBAALXqpSmZuYq4LwRKhknSQCXj9Ut7oj6tLpE7WdN8J5mx9Pn60RX/061DFTRPEFcKsb9t
TVJZylhnkIa72Pbxw2zUlotrrUu3cTrZr7vxCBW3a5BohMTpBSKy2dAQgQW7qGY47RBThwBEcX40
FoM9Y6fF/8SVdtQg2t3VF+ZjToawe7mrEORIziLTYYsQMHzKtd74rEjFcBpXLYfzpElkr4f07iia
3L11r8xuPILBZGuPZhMedpJVr03ymkZYfTTUt7+ZvE3AXWhqbOv+hWZKaiyIHEoSDTJOQ0G/1oBj
2mO0BYkzckP4z6+fmL0bIdiylZecDY9yuaFZm3UjKB9alrFuPnVLoQXRpFuPmW0nB1Hn3iaCBWUs
gECJ3uzGVCQjMDLTfvKNIclit5DBcblwJRzmaXuHhLoWokvErwwDbQwtdJtKpWC+vRsrVD4qs19P
oTI1dTCrJULruWMHztD0X69v5d4zbIGBJaQBMEWGermVA5ieKCO38mNGWc6p3ff/rm0KFiNOtHtD
k8yTCW7Cg1O+Ze5Vdw4czh7qm64zvo25TOolbzLwKlemFQQOHcYGWjsGbKpnI0aqz0VlXWn9dh2n
h16vUUXXhwng5QQ0fnLrwdahCbGb6qhHvfcdAKHjjkSQh8zc5YbAlM3HzUW0VeXaA3ju6ETKnPlO
L5epu1qN4sMKVB3sw65VsBv8wQMCMr20ypT9OA09QWWqyaKiWGm/02xO7yFwXJ+qhPIb45VH1KK7
m8+7IqjuZDHYuPn4dKJQlYJTz49BfJ1gaeu8rmzjZ9hfLC8GO/zNAaP3UPLYoQMhm8QKYfKP3UG/
df0U7t0yMX7ESQBypW8DBNWKzRGVHTZ9jMMzuQIUdbJ2lEHuW2H0Hg5hyqnbSSdpzoHuDqTx5rSm
t5o65Q9makgHzkm41e1zJghtOEM0zMF0XH7KOZU0rRX5gTPlHVUX0zynczafp1Rdb/vBqtwqhPre
TGv5fH0Xdzi3RIucISpyEyB627TVGhSYaOvMxmo2PKu2JHthXixf4IOfhkBi2ns4Z5mm1u5o2NMD
yqYZHG7igxez8aw3SnoEu93dDDoekJzJUGNuCQirsIHWobMsYpdw+aHNspoA9rJRaFFrqG3vdCWC
A6fV9AcoSY84hvaeJvJASqNUsentb64ySsGKFq1C6yAshvRJqrvcj0tVehfpWTN+k+NIP1rv3j0W
WYUqU8ERcpGXH5/YKjG6ifVOYegYj2pvWe9V9Arl9+rcqM/Z0rdBZzTaQTqzs1IA/jgsQLdiQFec
/FchIu5xSZkpgzndUtJ3ucr1Vdai+NW10j+rMZYH5nYeDdQMSEfRx1AEM/CluSWrsoYCFOds0Mzn
fGkRFGKw9LsZltriLaOj38NYo3xySqERv0pH/NJ7y6U08zJowDHf8nQueRtJaq7bohUb1q40Qlvg
ZhRQv6/t4IiQyl5/HdwtkRFurjXZNxQXgt7MeHO32mKBcKXtLX/u6vhL14zq2Zqy6JnpG/NXkg2F
u5h9XbmJIf3QFq33oeZXD9zkzm3iNwDGgcwXdPe2292ZKeoK80LF0yrXc2vWcAswj3YTrlbhmiaj
d0yjW8Upa4v0wKvthFykb/T0mZshydoyYAyFYQKUxvRSJMuHpq/tL0yu2rfK6tj/HWy1OK1vthrs
NB0N0a/ZAmQKjZJHDLmJPzp1+kQY4Py20F6dPSdWkZgNU0WtiAay9smaIql2F7mU1VMS8fvcUk67
KkhoKkGo2BUxrq5V66MPsf8LOQmUDng4t51jUxriYsgSaHhDa8mRvOmLB6rH2s31ndgzQ7lMIEL4
D62Cy3vWGFUhVwlnTgnjuPKXpAIt1+Rr/vG6nb37xG6D8AJdQJq5iT6MoUp7R4OXDLhXFnnKkDaf
5E4N3Z5kBV6X6MN1e7vrYrQFBgdkrfGXl+tStKxcbJugOrGX8itoA/mXZQ5HWJfdVQngE2Bj1rRl
v+7qUpcXCxanYl2nJ71K6XlAwe03ktW/h67i6Irs+H64CXTuJWUOYBMb31/Z9PzSdLb8ehqk3JPh
3ChPmhH3kRevQxGdKwXweoAYdPzP9f3ctUydmnzWEn9tHjqzto3F6cgdbClLPy16GH3ireBgqrXJ
u18oVAwrafGvW917BejzCOoY+oBvioVjQxAupQTt9ehoA8CotXusMzV6xwAfU7dKqknNKUm0+Hfc
Jk7s0Xpd/qISAy01sANBwwu+bbPn5qqUEH1TM9c7paHZJJfRN6fMnMXV5+ZoqmbvQFHGAgIEUhYR
hc016RxjIIgjvOrzODuht5m5obk0D2UU/lhJ6A/2d++rwu5FoZnQie7T5pW1tWlSaerazLhqD2uo
tTflIL8zlrI5Owug9XZojvCe+ybJdaEDIB/YDq6EuWQWFAjRDoJeDHzT1DAN39sLLI2r870y0+Ie
hSTjAIG8Z1WwAgGpYFu5q5fuQM1tZN9ime6SRnmikGIpkIyov43W1PlhombioQt1SOqy9zVfWd0G
yyaUwpCZ0ZWQlk5+dmAAO82FvHxfSr2WPUKfSXWHQaWOYSbmk6QO+qmBt9FX+mk1IWYC5WjGsvaZ
bew+Rmm1PCEi0D9fv2N7nhJuLaF0hBwgb/7l1mjSEnUVTQg/nqP1XDll+NQNc32+bmXvcYe3W1xm
m6dmmxi1SyhnBj0gHwUEEMxFqXtyZso+MVx/+nNTTGNQYaS9Rl1cfJVXkaoio9Lk9ESqijMiJi2l
uptSATtDPpUc3J+9vQOiIJCOEJq+Uc4oTIK0MrOB9KZ5dkKOSjrlqjUeHN69vRMDWC/ATRAE4le8
WtCcZghia6LKViy/AeRFN2q7fqcWfAQp2TNEOklUpQqJ4a3KXi0rQ503oNWklsZZmGmTp5fwOWUR
0f4ffyREiphGoGVH2rRtcZVrluajgDpWDIXew4ifBSq4c49RxfYgpN1ZFTEe4Q1bSOay5TPQ1Uxn
hh3w/JokIbz0Q3aqKK3/WOGP/wtTZORg4mhC0CbYfKlohDVgYpCXKMeqzxT248BKYDXoUuWo4rvX
jSH/E3M4ArsCEc7lqSAPipUsrS0/T+XqrKiN5CXISwbLGA1uSY3ZmzOrCTp7XNxwiRinK5TmHK9z
6cbysNx2pZEfIGp2/B0NL1RMBQU4zd/Nc7LYZd6qJcuXh6Txe3NkAqtSiI9VM/GMaTiinN21BwcI
PVKT4eht8MqTjUBaAzwjniQJ/KhirMHSztqXRQu1mzBu1YModu8oOdQYdNTMmdLeCmQMnQbt4UgU
JE319DtNq+h2IhIIpsJpDgA9Lx2eTYpCEUkXRWFFZMKbzcymPAS0x5MlKdVoelXP1j5JStvBwkVv
/T1y0eZ/idq1gy/hTkN3JbKG7QXOqoZ5wXQe3cUgYfTRS2H0eOqs+gOxsGIF8doWstsZzvpcT2Ac
vXpVx88pUxClu0Y5E+7M68StmxPLx16hS+VTmgvGEVkeetWNImRCflXKLBsuivaDeYoJ6iMGbpuR
ml7TtO/ztR5+q3ObS25fm9CYLUspN57c9tXiaXGTvZ/WaqjPUOlpcpDWnSr5Zlu0H9NUNX6uTWV+
iIvI+dDGYbv6HXRjRz2Ft5Gl6OGhxIWuAn3v7TSUPkA+Yigj8ARbrb92zYJiTmL058YwyrNjwctZ
O0S3fRoqPIfyp+ve7+3BFdZ5nQiBBNHK5okakDwK60zc3S6MHtFt6DuXdNR4NI2x070pVu1ff2ER
ZBEiYLAX8wJfeots4dwoFkPLNg75yQQF4i2mVj0rVlwHXd3bB57wbcBFnZVEBfZYVkpR49Je5Rix
uoy0+Xr03eAwifuTptq9V6ENQAatLKeUuamDbX17PTFKhwiGccZ7gWlcGnWyNCo0vJ5vdmb+pV8T
lVrkaDyFIIcP3mThyS9vJ6bg/6HwSDEZ5OelqSgdpGkJyS9jLqNXJFL4Lkpl46Bmv3dOXlsRv+LV
y58s2pyUJtXzepWsu7wphwcr03IvHmUjdTX4j/7ms9GDAs7HoA3P5qXB0FZyacLDk8H2fVCpa+4B
LJ/PedqC92TK9TZFifKPYwH2UoAwBfhN9IgujTK9qRmM9NCX6uPug6knoTuEY/E8NYfDKXsnBCow
ZiygJKUasUnmqmboO8ng2g96CVuJPjYeXJKmCzvMEavx3g1AKVkQo8CkxFN9uSoyC0F8AcAr6tFM
LkfD8WjKhZ+haK8fzXUyXNMujkbb9w7My1Q5VVO6A9uwKlkbrV1VtjIBPDidZyVp34+5rQZwBTS9
12glfATXPcvuOgWLCK8ijFy2+PdXZ1SGz6PvbACFTZOotyjAjj6zis1DsTD0oyHAcYaXoDr/jVFS
cjGgS610c/303k7gQAL20uVyxfB+/31wiLtjSeo9ackmLyuVo4Vu95apZzEYQ2jHpDdue3N2IJlh
QjHL1oBKbOl3WYR8eVjGXl3Us68WznpQmts+US/2CFoZBcB/ErtebmyYdY68jMkaTFnfvhc9p3Oa
TcP3LFyaO7CD9rlOI/m901ShpyoNHD/X93hvvSyZ11Ew7rzxplY90MkwZ9Zrxd+ttJ3fJ4yVu6Y+
3RZaPP2+bm1vtRR50MPEfwMm3uxuTWq6xjSXgihU0TpamvgurUu5PNXd0nyUpZpZPGVpv4XDnD/0
s61+v25/d7X0iJmvZTSOCP5yt5H+k8a2G9eAAoUN9YSR+Xrc54/moCiutAxHI5pvaETE54UQED4y
Cnm05cUPenVvJmQWx1BnZjLrS+VmnVbrl0jKzt3QK4G+FJMv1ZIaDEsj3+tKFn+MwawdRAVbd8hv
4O5YAAKguQWGunkwZ7oaHR95DfTcWfwJGIWXGmnupcwoBdf3d9cUJ4n8AIQWdfvL5a5TVKgVTZMA
bpThSY9z+dSXcv15nMujOccdU1wXLin5JR3nLZpx7RPD7jrkPoA1mh9MrSA1mLL0vsikg/3b+j72
j4oJjFS8JeCKtrKxY5RKwDciOVBzM/YleYX/b16kHxFh/VMK1aTmlnrRHUQFe+szSdIJTfnDs3m5
lRoVULVEbiywOtnyQlho3JAu6G2THuoO7p1SEEXcC9ATzCRuVxj2LNFQpDUYHTHtMVvzQmEgNW8K
Gh/fFi3Lf672YkHGa6gnZa1tGTIcGBkPfNHORgs+VDGWC0bmzawGyh+D3faSHPTZ9EWKdOnOoIYG
KWu5nOJ1pEHTM7N1YHRnn4lfRREJIkTmUcS/v7qha2HkqpxHSkB6opyVKJJOsTEnH2Yy34P3bMf7
kUzRRwAyQO13O1JXlFTeFTNTglBp7MDmr7OtQDqdFOoSNFo9PDg2FIkIcZR+NczZQeL+dqWCWIOp
QRTNhR/YXE5NqmZZMkolaNE28eciir9GTt76S7Sut9f9wFs/K6adSbqEqgR1i43bS4o2bdEQUYIC
OJJnFflwN8jqelfXTu1qbdd/vm7v7c4qMgIFYMLxB2JG5fIj2nbLNCFE6cHMHJjbytN401n9T22o
s2dDqep7qXOUO5kv7a51mfvXre9srKC3JNpkFp9y9+ZVU8M8jCp9nAKY4ct7KYn/K4wmera6TD5d
t7SzTqIT2KiociD5tWWlWsxhsRcbVzS36hxUjpp9gHx/uY2MkoL30nf3VYSypaSmla+nk3NQrniZ
z3idENEAw9dCzsJJBbO6xaQMDZ35rhyXwMzUWDtrZpjJLhmfCmm5GcWPHcUIx0OmS/1p10o3nURL
MPUSuU/f56ROxbsWNc7UjdXIqb3eSNDzEdMmy31PrF7fD2bRU8OCrCq5zbs0bN2msal0ZdYQnvNi
KuuDT/fW5dCcoENMG4u10a24PDh0xxsl6ituf2hXZ72150CpZbF51E3yqE7whmFl/r7+GfetcgNV
Qaf4RtCoaHM4rWWsJsWgnpmym879MsxPzlL2/7UzaXsxlvG/143unFKwxrbg/IRJm8LE5VLNSSqd
BTWFwMjD3kVQQ7u1jHIO5s42D47primLVpoN7aBM5fLSFPg+rTV7Sw6SrtbPNQhoDx8sefBIFgcf
UDit7YkkeiYnwQ7YnI0piJaLsoozOShMO/O0JF3OZmgnrizZ5jsndKTATNp76vdt8OfbSTxHdAfO
DnTBJqqaUFFbanB/gTwzTmiqfE0lthB1U4zo4NrtvM/cNh5o8UTRv9lqMNR4dMAzKREIQzW3wOu+
LavTnoqSXkcmz81N3/bt3ayBinfLNm088Jb9wXp3XDo3nuwdTDx50dbFJlZkMkbZcnxkNK7ToRju
kjGNf7ZAwh6qBnKXg4d5x6BgURFEvgCEAMlfHiLNjiJVa5olGPS5+hRVKRXuKCpvE5TgAokU9MDe
20spJhtpKBG50Cvdam1kJvU4Ou9yYJtJdC+V9gCcTQuhY4jN7lTl8/hp6Sz10/Vj9Pb8EuwIsTyL
uIfOpfD4r8IPfeg1O67Y1gHAkScKWyjQS+WXuGzLe4ZKfpSVAJ4Z0kFD8O0VxRfQZWJz+Zykn5d2
tYygbml5MVWjc95nfUaDNkvyuyTL44MrurOxF6Y2VzSaBz3NKryBY6cFgDZYKvPIsN/JrTad1rCu
PUVb+4MIZHd9wIxkprUFodgGGiJX6KHGNV9TqfT0K8jr4pdl8J5MceEc3Iy3psgncXKCF45Z5m30
PNVmZPTd0gYDcZ+3UCh6XNX4g15b0h/7VfARHBeQ3VxDmA0vPxoEGonZtSvQv7DNvQJmzlPV2bpr
JZL04fq5fBtpCCgGvoY7L2gtNq9FnUCJyNwapix1uK2nsXclqy1OypxSDOE8ukuJOB6cOQy/L38u
tArXkKzDWUvlBxgM03iXS52GYq2QtO4CeU2a276czS/xaGkuxSLlqVL70iNI6m7KvB7e84iup55B
Sn8EbpB70UzH48A77H1ksO2KiGsFrHvjjWyIndsQhvSgqNcJwpZC/kxzhK6XYh+Jsr29L7bCu0lK
i1OgZLo5uiYK0IW2hmUQGVrpQWT5azJr5y4d+y6oRm39EC/9EVr9rRsSNoksRfwq4svL7ZZzK2xy
grsgk8JIyECrrimNy+OS5YOfCCXAZlnUk9PFR4qyb908PBjQ7PO1GW2jgXtpeQXjGBWlWgVVHhtE
ropyW6f2fJYGtBBXAqX31w/23u6SXuLrCRkEzvXSXp6WYdUrehUYxWQHiWxlHlRgSWCvnX6Tttk/
VDOPWu57a6SoyHC5oMTE8V7azAjaCfnkKgirWfVSq4nBGcVcJnlOvaiyzT92ftycV/Y2fmIyrM6p
EqUKZr1OXLWprcdq6cuzbNfmQWyyuzSKXGg08HCSG1wurZKyrg67qQr0Rh9dSD8pIpS19C6DLAN2
YufPK3gsjfQHUl4CEcaFLu0tVZfH5Chs5ZxFN3ZW/R6zChXiFmrKdjCcg53cuxcvqAKkIIibtx63
U81Wy+yhDCA6M75EdPw9x0oSv0L7y+8axXo0ujbzslQrDl4VsZDLwJYmHRz9LAaCN1oLlwvVmXPO
c0Z2gjiMu3fMpi8PZjFmB1WmNwAD/OwrMyBCLs1Eda0tymKUAW39BDbnPvI1ve0e7DB6HyJNfBdb
RRzEgKS9NmIuK07ZbX0apgd05HrC+lk/GFPcO1H0hwj96L1Brb/5wq1dk2v3Fgzz6zIFTdo3wdoh
Zi4363Sy4/6oZrlrzyFEYDBalEo3J7gbTKRMGcoJWtXOfhXyaH2tVXWSvXHpisyNk2r8ed0F7Vsk
aeEFF4XFjQsy064nTefTzk2nuy21vWBIwuak6EsEFN0+GmffebsgGTJEWQ3aENLcy2/cLzr4X1Mv
A6WwVR8RZNuzV6e8reumPzhPe95VlEl5TGgWMW91acoeqhkiEpuPZ8fOoz4tk9+UlfUx7IrpAfov
fN4yAH67vqE7VuHdoi0Fs6ogc9ps6Egx0ppHrQpgye1uq3mUbooRuGxFwO8Nlal4Kd2qA6PiAm4u
qOCxgKfwpUO1ZXpMQeemq5M3Qa9YIxUNPXzMSv2XMWqDj4zKdBcbavQiVHPfTUp+cEt2lgyREwUn
XhMy+i2bZQcb0TppUJkpUzh4ZcPcwOREEKKrY/bJMlvFS3T1SOjxzaAXrzQsRBSBNMFh+2ajy5LK
mqnVtg9QuDYDOikrtMDNaPwgNtZvo14Ll6BAOu5dMYMbvl/SPvzqVFFS+7MpSQdvz3YPxK8R3hF6
KSCACLldHrZFp91ZZKotNCaX27QbhmBtmzQw+rajnwaLaVgVR2NZW7+MUWJvFFGp3AAJ2NKHwAYr
GXGWh74Vx+UXdrv8Z2kPJ8O3h+vFCgAkELuUUN+A9JTQoQY2FiEEOIX2oEqS/q1wnM4PtWi4ndsx
P3Vabbh9klT35WgfOKitwxDWqWiKGrEueAfExr9KSrVhMJCG1x0/Gur1IS61Oy2Sx7t6olh9/ebu
WSIiom4DEEEMxFxamttKmyClAPtN1jO5RklJymUcs/kml2t5AOfYNQYWRwxPvww5bYw1jjGtqwq8
3VizztNDs/UmOqOpp6nr8un6yvbOiRi//T9jm/f7f5xdWY+kNrv+RUisBm6B2nqdnj25QdOz2AYb
MLYx8OvPw3w60nR1qUsTRUoukowLY16/y7PofLWLZ4EoH80wAPKcjYcUMJnDf1hlqwYxHEFadD5S
6MgSBfW0IW7BrNmHXCdHlpn0/durXNw4AEIwocY9gfP/cuNSN8BfFbj5CjKH8ql29BPwcHa/wJH3
yvO8anVtR28TxwS2BwXoq1EUlC7SsBkiEFiBUkVDNBL/qrjLS1wi9nYYWVCqGqrZkKHVh2icsndI
lP4Wvf77N/zGcwDbhJ7pWUbgBiV5poHPh14kv5nDNij8QJEThK2XKqDeeuOZ2F25Oc+TAiyK7AuE
DwDYEdLPCdSGNDHzeYNgRgZbSX/Urmw6RNK6DseDh5L2yku9tCBS6G24iMYpVBpevlTQWmreQvUJ
E+gafCcFaim2O6yylXg3QXPVc/TCIcJqgFFBCBSp1rk8w0TF0Ng4h2iwCfpjOsjphsUL2afI2q/s
5cWlcEOh+4PQAufNl4/W1ZPIO5dlVR26rgqiwS8U2tF7FYPl99efBvqhm2D3xjMDVPPlUnomqALE
hKdqlDuxgT4PIAM8BRqF0NsrXbgSQGyG0g3UpKAWdJ7kmMabAni/QEFgFORpmcLxC+bBHGS2pPuI
MpbcdvVKS5+6Gj1vR68sf2lPYfGM+wiQRqC5z2JAPS4KsG0gVSU6a/tAj+rgslZX4zI/v/2gFyIn
mmlowaLvBA37c5AIgzdROs+IabkEv1nFXv5P2ObDlcvg0vEHFA3fHCi9G7ro5YsbSEeSEZIslRmd
/GBGyU6cNlMZa5sdA4zuyref6tLrAwp0m1KAVw31jpfrWRiMpmuCwavQkz0sA/V+yIWIJz/o4gYO
PkwfyJR19zWx6kuXanrNduVVqbdFmE0fc+O74gN81WrmLido9OYVKPg+3btkrMtaWfEMaLn/aWRD
t28C6nRlBhLPMLTRZgezw/wDxrkS7j85Tz/znE7/4WClKK1hHLDVQ6+EEmoM+Ey35tB8XaM9+DNL
kUVQHlKYCF75WC8kjJuoF5h1m+73K7BTTP2sgSpFXq0K2gOIdEP+tDCbBUVCE/swNDraWZVcO9AX
dx5wJ+Cct9E/EB0v3z3ibJRpkK4r0TP+qVEhO0K0anhUjJIDKqPeFdEcbl7pg08L6ifdJ27g1g7U
/7Sivevb/tlPZH0NQ3NhP/ChoakJfBBun/PuhqCxsLZWeZWNQV8Y7Ntx1ViQLWh0DoHpeTHC1XX/
9pdwIZIgNsNhZGtwbl2cl7uRDKqlLab5FViVK6qFyOxckkwwEp7X6u2lLnx0aJ4A3UHgE4Pzv/2U
PxJZlwCtHkjccY574w4228A9ED2AXN2a0qBMOBHRfYqVFDu5Qsvy7dUvBDIcM9AoEcdQmJ5PsHqq
TUNyllcALEbHER7uqBUduxJYLm0nTDwh9rGpy6AuePmM8UTWqG5xr4I6/61LOvqJ4gzewib1GhHq
QsgE4GqDCW4auEjUXq6kuKJzJ7GHE5BrZa+gYNNDXbVMV715eavm+Pb+XVoPRHlc4Cg1QUc9u1t9
ruToRzoHVsVIcNXbjxpu9wdP9V05CHFtlPx7wvdnRY8DArvXbQIImX40ns6eT0+0xUsa88p2rNtz
xidIMqe6VGE43CzaW49MZVMxwk6y2Gx+Cw7R3HsR4djmTpOjTcgPCOyF5UzQRIf3nruyIZdeNcJH
im8HbwBzmZcvILTApua5yEGr5BGOMyVPo4xFAeBivXt7768tdbYXAremlh2WcsKXpyZIJYZ2EX+X
QIriykd64TNBro+UF7RBzHvPoxCjzDYOyh+Vilt6iNcOI9/V6698JhcOE2okKEdCfgBqXeeKGhSQ
XzPAIBQqrx7ea7dmtEipDnZD7MBbMhn59fYOnreOt3AD/MPvhpsPKMRZAYjJ61oTAs2qGk67n4IM
/ai0FvfewJevC9p/DxBbMEW3cnHlSS+8OmRpaPP9RuiAVnR2Snoiw9wleNLNwSCD1kGRY5j+EFMl
r3ShLj7jpreEBTeDwG3T/4ivbFnQOg1pXU0Q3fkJAgbU1pjndwoq0qr5uiQ0fEhHrz6Nyoz7t/f3
4mPCUHijxgFlck522cxtohQaIUjym/CzWoAzWrKkFkXeT9eIRJfWQtzbwBfQPgaW9+Vz9k0aLWQm
iAyZDAs4oWY3TdveZCvoTX//VGi8bJUgZspI1V6uBGOGGbXmUEMGjStvh3YPoIl2kr0tWTvx5coV
daneBuhh8wmB4s+m4PRyPT/hMCLOWF25qUe7MpeJ+YeEjYXjV+YX3tqC0lOTz6tRAmYsMi67Tg9X
DuyFAIDfsEEuQFHfGvEvfwOraQwiWIdnhmfOFyg/q08K9cWVR72Q7KC7j/Ewmne/uX0vV8HF6fWk
T9G4m6Tf7DLJejDrwLBRNqhiiAsley/Qwd/6oiIMoGmCM4qWBjLOc9VFP+zblsd+Xa3BmPyT+I58
bBz9+Nen5sUiZ28xb1i3DgEWmSNdg3KCjy3sGd1L5dyvt5e6lMxirY1jC+V2CB+ehZdWy7pNI1tD
hHyRNy2d87GwqRGfwrBdvwUe4TeLN7cH5aLmMw2buQTEbmA3Oht7WRgfYPhpWvprh2h7xLPLG4kC
uidoBAMTfj7k8ByLbLwGdWVZ0BzQwp33MMnbjJdqVQh1TVLl0mnaFMZQo26T+vOqJVuCKYHFAJYL
KavbYgTlyBZok63TCROz7N08oVv1AAiFvpanXAhGAPAhccf3gs7Nq2lyF885mBpeldUxgEmQvv/A
lVAwzWqX+O8zjt9zckiIb7iT886f56XCucjArV0Efalb5aMdzNXOBZKf3j5Yl17gNpL//6XOokAA
cn3Wa+dBWktGlZhzu4c86bTPPWvKDkXalfUubWMChTPgTCCOAfzhy3gQ5Kp2Klk8yOEoTMrrIP4R
8vmLDCz5/PaTXfxktlY6RHVx7b/CmE8poyYI8caWvF++rRH0QYvIH79ZBWniOSThh61sh6avYAWE
M9ITNE/iQvlAx2p0ktCHjFX19m+6tNsb4BW9uAg01XPz8Kg2nkg936t0moPCBebh9KjgzlZ00Hc4
gbZr/9abfQuE6YbpQbWJev8c6LGIQXn+0ntoiLcGmXSqn2M7DTu4YT2seSL/Q0hEtwMqRGjiopt0
9nq5rTFQCBrsedbJYyMt/GQy8F/45n/99l5eOkkpWD74JoEifjX0REretq5BRARpvP4kmv4rACz5
PkjpfzmzwGCCHIEpHPKts9gb5M0qOZm9ap3D9OsysacxHl3FeXiNvLz9SefhFOgKgOmBCgL2dHvm
PzK7JWXtsOQ4H+0c6mpoY13U3nxt5y6dQrSCQU3CxmWv9ONRYq7o8uAbjMkyHjLt3BfAA+vCE6bd
0xaE6bff1MWnQk8YFAyAhtPzitzzU7u4TarRtr1fzWmjnuzSAJD+9jKvDwQKGaAJAGkCmetVX8Vf
oVbYQdJolzDSfxEjAMTl0C39U8vWQV/Jni4shqwJRChcRvjH+ZmYTTjDdrOnuzWQaxmZPD/4SZ2W
Uxq6K+n+lny+PBSQKIP7AsAZm976OVhkgNwAGBgxvikXpc9gr9FDNzhfF/CNtCcGHO8xUIlNijWJ
87moo8Vd+apfv0D8go08Aw7Lb1bby2MJy5OQOZV7VTA7cTsbGdw0HUTz335/r4/ltspGsd247a94
7dFkFt2MggJ7QyFA5XH5D2RFRbNjavA+ekHHw+rtFS++ROSlkD/eMCHnjap6GWDL1BqKNtSYn5qV
19CCUPGOYcbx11c6Hu6PpbaH/+PLtgt1fR6PdDf2rahM0pm7oUbZFFJSv3/7qS6+LQLJehyaEHnE
WRMBFgNh1jBLd3rOYDwdaP3Bp7n8Dw+EydIW67emyDmvyao47wiD1GvPx/zAkuE7lXTa8xSG0G8/
z6W3hAYyxqxb7vsKdDHW0RpFc03B1+T0RILaf98NXPaFz9HC/fu1gPTfKLm4NXGHvXxNQcYbfzae
Vyni24oBVHfUi553BMi+vx6XQVllKzrxjiAHcC4HGctoYItn2NYKkceVRvQ4Bgp2U8l8DTRz6UTg
Qgao93eD4twAxieOBr0N2Q6UVLMzeg42NTu1//u92+QNtj4/ANPnNNSYdmlcc8V2bmxT0P6JKQg8
DU6Rotei74VQscFI0WJGj3ljir58TdOcM4cJP99h3E/vDFx19pHn0p2SUhyASiLv3n60CxsIIgg6
WRgCgotxDtQFAL0NiEoYQC6xe4SNDn2Al3N0JQC+rm42bhIsLUCl24BcZ43G2POoisac7/qgjko7
RlNJABoG4b7x3oUN5TuO9PnK7XJhK18sehYtaCsVnVjKd2Tse4ALuuldO7fjbSpX95wNs7nCh7yw
ldBXBu8C1xnG0efeHdaFOgwporrUOirxJvMTxB2vWR5d6LBsqnubdQdU6XDsz05I02+yE9Dg3q3+
6u3qPNPlnI71rkc0KUnjhaep6+jBgB16gxcO1+ywdbu3T82FwAXyN2qPFLqrm7/py1Oa/88ej7a7
JRlYJdZ+OmTGqzFx7PKvf78UqmvEYtzPgDOcvUWhMX4DP6DZ1b4cT8Ps8WINhrXUY5ZdOaUZfvVZ
OrJZdqHXCZYpJofbv//jJgOpL5Q9EzDOmLLlBsdkfIIRSXswuE0flb+1HqZecOR5EuoJbz/mhcOK
tQEOwl8wPjp/qxDPTQOayHbnUY/sonXuC8jKB2WkcImHg7smCnrpDf653vbF/vGsitZySWKsB8Kw
LrPG9WVG4/E2tJG4Uhhf+PjR3dlgKIA2Ip0LXy6VOWl8EeXNLlyZ/22WGPLPsWieFI/TrhDoBP6L
6k4e3t7Qiw+IAhFjQQSdVyRai28+aSC9sVMJsJP478QRgJHgJleWXXnAS0shfG6aRZg4o4x6+YC+
3ooRlePdOe6qmjb8c+gBzzBCfvnKUpf2ErkPWNdojgOntcWgP15bP0oxakwbdzB66MCUVf2e+rBE
YcsUP66u7Q8EZIUradels/nnotvz/7FoapLIgyMIvovUH26IoUE5cNHf9Nbym2wyfyuCgy99w/Ns
9RQI9KDuv1wvZpD0aWsmdiDq3UvpcKdbdkD6RQ41OMpln2fX8ohL+4rrCeP07cpANfdyySlcfKJy
x3cL0Maw00A1BiPXpK7Aw05Y0SMEHfiY/f2sFULN4AABSLF59px/9aT1qZeHC9+ZTtvdNMLUwctT
c2ds8uPvPweAMDdu4KbZfO4S7TU9cIm1z3egzSfHBkLWJZ8jWw69p//Dlwd1ewDBAA15jcEMbT1O
qdJ8J0ZOHxPaiROw5MtxmaJro//XVy7qR8BKkZNtGCZy9tpsk2EmvqbNDoC07h2gr/1dbNQ1a9/X
5x+7FqGrBzBdvOEtXh4O6EtMtd0IVBE8byEGYPcks6Cl9/6zWnhUvf2mtkT85S2EgTGU1FGCoPUM
He+Xq+lg7XI+AImddkwe1CqyPcA9j4ltVZGyyR11bgQ09Ex9iOL52gDn9YcARBia8FAJ3EiW5914
Zp20wQxmWFvXCcT8puUGXhT9hzi3BqrCSgM5mY9Pbz/y6wAKTcoQLS/gk6F8dT4oz9omjbss1zuU
QFPZtlofYJPslXCT+1sLeMzbQAZBEYT1gO8/F9ia65xNXj7JHUiRsIltLIWcONVd3hchSZsriPLX
GQVW+80F2RQBEK/P3mWOQEbGFvqadaRuHGBn1QpthzJMARqSWfde1lF0AlDl+PaGXloX4OfNFQAk
OPhzvVy3G8HlNCFQKFEj0/vJF82jI/BCos77wGRoDl0DqfpwwVF+e+ELbxLIq437ApEtDHPOFuY+
fHGwsWJHx9GdgqldT2FqLQBpmfCvubNcfMoMjRUQKaHXfi4BZ6JZEatnsdPgTWBaYQNdpFr6+9Yu
j61y6mOXy6VsJ3IN+3bpMTEp+Z+TCi6qs/caz1OI9rvX7obERz4op+ig6nU+daMvrxyhi0uBmAFi
COIXPpGXrxKGgIiiXG87mkWYhIE7lngjfYzV0F35DC/tJ8BFIAIDJgmcwXnkUU0uGq8XuzYDVxI0
Qn0YvKkHOzgMPk/REB6WMLEVKCHXfNq3ahPP8TLs4dLfCLHolCGXOtcr1pPTtK1nWBfAW2iKCtQe
AbzdBrjJFZoFEmJttV+zso7mBUEIp0FVlqo+rry5CSsKL6y5iMw6k0I1nvoQYB5RQ8M5Un3hnItP
Euh5VXbgpQ5FCibPr9HD/bvrlpg+Lyk4RmWaz7ksdJ8rBcoqPEqKIU4NbEjhaOnKhS+4WULJONbh
bHZHkBm6Afmlif6dRKvkaZ7qzFWhsZEp7YD/Egu10JhlEkjlwo1De/STVupSDjT8yiHbPVbGsOUB
mhK0OVhqvX+TJcmPHaGtLoKZ8+xA8dS70HIw5kw/27BEN4rpXbzFliqH42Y1eI0GOVKPASBD2MKT
r3sqCyidQBTR5dBMKTRUw+41Z/GvBqqrY2kaWDeAfDcNCoc2DFiRKc9rCsH99XbizIugstM0/skD
lgZ4jwkVX7H0aF0e6iUTHyYaQAWRU5oe2tjA71NnQ/4jDj39HSCrdmsGGnFjG5PGt4PKOCtcSCZX
1rE3ndohUsFDthD/riW+i27ZvNLPqAbCp2nl7lsnufgHktXjN0BphqnwdObnmLZE7V3eY6a1q3UC
yFadeORbkKKoKMc0c3Tvj6gvdOAvj7hmxuGAy5k/+RoM5LKtJ3WMoUMFcWrDiSincJKqmhSUqgsf
kgisWOXofVde19iCmaEOgfFz60kNkRiLHNIGQ+lZP3xnImCLjutaC1caYaN0N0dphwkADDVhZxDP
gP1paAdlBZR0zOeA6fohWFrDq3GIzdeGefOGfW1TWmbzJO4V6pSfYYMssOADWALHCfDOZ9861paq
n6PoPrS0gfUWFRDuTLK2s1XAe/kFDpp1Xy75Ot2MmpqhgiZBf5qijsSF59cg6g6r7T6JiUJYS6t6
NmVtFN4EFQpOZQBOxD/R2RLADIFLPBbE0vkLqVVb30gs9h08mkiW8IcA0Ai1MrIBIG+WZwd5p9u2
U+QH5LVwi7V5vQ47KaEyuGuhmtTuotT273QeeWmh/Xz0C0oM22u0udOiqRP7K0TX8wfzc3fjkroV
B99bw48mlbBc8vqOaOxJ7SMzhZXaHocY6jJNTPlSpoPIKbTvPa73lE3zWDkpA75f/KnrITkctrKE
xFm/PK28WclOOEok5L56cjcKZ7MCfSj/G3V+h/k64LUnF4UtrsGhbb9PCh6dxSKld8uiiT5D6WX5
kJgQPZW4mZegFGjt32kNCEAJBi+Pv/spz9N3Swv1vwE9+KmKU2VA5Y+HWZVrvUZNV81tP7D90kAZ
GW8DJXfZ0QkQGGsJvKIBlMn/iQcviJ/qcI5gA6INUIKFSZ0TpykMBuj3eVoxU4CtknyTFrZN+yEl
ov8FyBCgvSOELvzdgNz+0QaN9bsyFqyOS/yIur+hEH5uC54a5h5oG6xTAVSMu0vH1oshsdwDYui8
cWy+Jl4MgMUcdJ3Dp+SlJ+jqjFNhA1/rMhV1rT9Ocxwth36kti2ctyY/4fdJ76HIR1gEcedgeUdb
pEClctqjRTa4mSJdFbL9loNUNhbQk7bNo4ERRjYWvUpZ8L7N0AooV9LwT4MNvLxIYz61cPgLJiAf
oCwEPaPBcwBI6tn0FaMiiopsYQs/5NFkvyQJrUmRtjQLj/PqIYPDnZ+yvVz4HOzXFeoa+wV69+Hd
Ah0f+XNaA1p/iEbW6fd93ccfVsDTYeyQx6Z/SJow5Pcmg1bmD+HVQXcLgYOcPaT+LMKvELQLs/ts
GtqgQofNez8MbBAICDQmAHZqqOtGZA6jMl7ahh+0T9qfuUjtXeJaZ44qQLjZpwM0ZI952iuk9dwy
Bakq1a9lRxqCl8g9DWcL4swhYrVr9kk7QIFC1qn9yQLuR/eOSPlr5n2ygmJDjEJQ62x438hVfBq8
2dQ3hILrXA2EZ+9T6wdyh1maHPdLbPtfxKYdAQCLLZ88YydRWiSD/I4ZPpN9jt8TVavN4T8XL8FA
b3xST1kxC+Xxo/BiyO3bDIo9kFzS+jaKeUK/LWbqm2rsknWtYiGGofCNbsP3WvGOvcMBVG1JTCQ8
VUofx+0hRSYG0XmegmoiFhHmBzK0RBXNGEcGvGWapu+Ba/B8VRJtZb3vDffmaoISLETIdDsuei/w
MOp+0BSIWJ/b1sgSOhYuKvhoyS3apZM85tOa5nvuywVh05stumg1HPbiXUYVNz94tNJ/TJQ0uqSd
ytJdb5Pok0h9N941NMw4IH8wcPoAiDdpqi4msIqBjLGNwF/IQmbXGXJFuV6RnWQMt+n9lA7SA9UA
nts5hRgfm/NfQSSY/yhE4E9fgtqjbNeIFZzsGePGJNqTTq7ZftTEiQ2cSsYdpFkhkqENBbhi72Sw
qK8+hcCnVzBAkdq9p70Jkl5dDLv5g2madihi4O2bn0gaoX2K+xldbQVDPXXAMNqZj8Tzx6XUg2KI
ipAMDSqXdj1Q8mxtcedFi83xyQd9tG8ymypA9cZxKHrgsVyRrung/5vzrOmLTa8qgrr4POToE4Jm
XiJ6da6gWTQP5Qw/BDSg4TeVln7YIgIYH55cWwvFLHegwUCiZ5lq9mgnIpcds/XC7sN56G9HT4im
4qMSd0HeevIooe3tl4ET9Hlq8A4h85a1Ath6AKLKhqsQbRJhbF4AAJosFbMyn29MjCBXrCF1azmL
WX9dIGnyOHVLDsT0mM51aTtu/aIGj+k0U+piiPByg+A2heaLnVhuYSdCaFQ0s1keu8kkHopPP6Tl
gpD6OXcj/JngqyMeoXqOkCuBj2JVgFDQFomNQ/6O+walTRC3UhYtNTyvQJGwiUIMM2FcjnG4yr3R
ft9WxnNduF9qgWK6hYaYqKJoWR713I1RGaCdxouekTmG2LkRU4meMwlxGNeJPlBQZdgPLRszi7Kf
6haYdXTlujIRGRLioIG2ZoEPImv2op+T5W7IEh2fdMyi8Ci6mc/HRAdmOFCvNvjtgJbIBdYZo8zJ
RzUsRLVIgayuc4DUVUqLuEm6/F7FvTD3Q8Nii982gN5ahOm6xFmxxKmnviJdVcOXVA19/VjLnCIG
+sjjHS28pLXD7eTCFa3scDbmGNREPlBAN2iVqpaZU1xnmo4V/ubxnyOjMkHnu9NTNUFSstsRDw6M
RdNkyM4QHGRc0DHAAB2iIJoXSy6h5DdPNuuPaMwMXgXt/ci9h4Vy/CnAn7YeVmAzaDF74TjuJL6D
YR/6S/atJ+tQF3Dk7tOj0hQeBSglud5FeV1Pty7O9cd0RZtzF6cuBYumo3A+aBJtxsfBCM8vZpL+
RusbeNGkCBCsaESiEYk8qHbfz0ifIUmIq2WqgrHm35M5zRZ8L03yb+jqRJUuzemTRk4SVkBhxEeP
+FAjW0SOwRvKG2bgOhLUIWzOYn2H81d7h6gBi7XIMaB41FHez4dO4991GYvbqgVm+he8UeBhOWBW
+p7Hbv7HONk8KBGhTcxbcOfv2kHEyD9UTRP0M51VR+ZrCjJJD2ZqWLN6qkjQRmwHVbJY7PJhCj4l
LUvHwsQLEG0giXePsOoAj9QT8ZiXIDCE79QMhkMBplVuDijB1I91NfI2t1k2HGcp3FeoBOb3zZLD
UMdOwLAjewjwf5ApX/SRt+let5H32MWdRQhmUXay8CP90cLRtXvKnA0fcTCjEYUD9T4A75AypHii
vQHkof4US0/qokU18b5ua+pXMR/7j3ismN2mrKNYhmf+4+wteVB2XmDuczL7IRJevda3pJ/jL9pH
FotHqRdzbBbSR5WOEoh1oHpbv8AxA198lNslPugRdpInlSmRFrPE+6myvh4fm0WNadHahkI1oZ+w
2z7uulvfhf73LqYt7lnoMT7Dkyv84fUUopCLyZv72SjcbJmdfF6ICeFnh08h/toIZbqdAjk+K6VJ
ElFyVDxJsfAGHL84M2sRUB6csjHcukguoxA8i4Qu89mfwjKKjU13bTQFdz3HGYXsdlLLotFilSWa
snV3zF0cd9AagHL2Lgkb7wb1hEf3pB/Jd2Y94HzWaZQc9fQqWtwwA+6QNepy/YBMzHYF7XQS7DVu
AHDsMYT4aZZ+htPgBCGkQ5u09bNZbYNawTZRsgNen5CiDwFVilDnUjB9WLiVUx5ZPkQ6C5BvQmzj
dgg1/myg3nwB7eOuI2W7LuKw2trNRcdl1Ly3U+B/hykjsSVVadvtZTLj+x9RSjf4fiFkhnuBBN/b
NBe06pMASX5bky5AQZ8ATdGjbzmXhohQVA0ctdsiAHnOFWzuprgUPXDGaB5NaLIS5wBQ97oYNByl
ybeJ2XHe4dqmGhezUEER5L6KD32ThO2um1Uz7WySQv+E9yYvvW6qF7xgtFmOrCF9UwTjaLOSxJSN
D3MthgcJfSxTQCsnz+5rFLvHScjoC0BZtS16p3sNR5U8+tAwoJvR7eFrxcR2N0Q2hI+p749I68MG
fbFytql9T2IdssISFjc3ncKAsQD5O/4IV0a9HPXQ5F9AtI3umpEG//padOJu5VAfw526qqF0nYie
wg5+6e+ajgzfmtgT3X5FVvtzXnEZlwI/8VcPQg0iybKm905i4lQgSzT8uIS9xX5GHu8LgJpDA/WO
nueFzjapgpDHyFi6lfw7dPNEb4TuYONIXBZPJXh2CYZlcSJT6DrNGscUpt+4wogW+YPt3JKinYN2
yyPkW1tbgGqgn0Iq63Xv/Ln/Kdt5mcosmXNkU3OdoCcUxOx5q0hwuSFiuz3K3ekHLoKAQ/Cw45CY
ExYbQrKZ7xM1w1Ec/YC1krT38tvYsPAR4OfgQzfkPiv9abEnTDQZqqY0bZ66OFmmYgghY1YQ6EbH
RZYI/SmoY/4cRmP808wmx2y6HvrDbKBBVqJkQykeo/pN8Anm6qbN1kkXpsugqMn7QdSI58HyE7E/
62E2bN2/Ue97AntvKYa+ps0e5aYtCSgVk9/72Bl3iGWuVYU9hSMKoSR8X699GBTzvEay8Hrovh8i
gVygwB6P3wa/6WzRTMTOBWAZ/cc0681dAsJAX3Q4CY9j34gvHFJsPzlL6iMyWc9BoVY2yD00ObVu
VV/dBKJIMagcTYIuUhL9cjihYnKbGk8iYWyDG8MF54dIhhS9tREt7gLmjjNktHKKMNe40fETgXv5
UGIuBBxNb3xUAr7swwcj0wWGP8xOIx48Do7YjI7CvieKhx3+jOkD3OwwgmtkpNqKLq7Hqc/ZOCMN
MMMzGi6pj1yEzu8bJO8dbIWgTlQ0jvg/Eoy2acGGRmRgLAn9LMEII8UwjqhZ53HOHsZx7KElK5vg
Q+T5wb+5YC4oZzOG343I+6cGB34tExVON9lCh7T0DDKQE7FQJEZvMulv4FGXZ6XXmHjPFtS1MH31
U1e0QTaTXTrUzkOC5uSC4DTwr1DwEV9UHrRfdeOj9aD9hSZ7Uw/uWU+sf583PfqXOic6rJIhIf/U
bBbYNDSbVgyWI/+Zx2105wCDc6XPPNhkrelEf2SuRz5oUTshDoSJ/w+J2ICWFp0oUien9B2BfJuH
Qr1d7+DCvLJyylfgssK8Jx8D3cSnsJ3ar10CUa4d0wn5iXRrwdfoKfJBp1AmrJi/tF/Qwm2eA5Es
FmywfvoWgOUaoq2wIgci8KNnIGRYoLzgZN4/LwEQ2oUx+fwZAE5pSmizEJxS+AiFOzr0AbKnWqJ2
G/Q8HWQNL12o9iXxUaWc+oVo+wU9kcx6rGrrcYvY8NJ9VCKYKXplSfZ9Zkr/nMAM00WXZfB9iQya
5WUKpaL3ILGmoly0Ut99jai7w7FKfi4Iy58BE+8/80SH6D7wBBlE7fUIoEKoYSxT3nput0YB3KP6
tMGvbkftZ2hCYFoHPcF88qo5J2q7CrPhNEwOocDZiD/mHoWWJUmNq9oJypHlFHNcQg4F0c/AIIkC
q7NLTtJK+P6izIk/mwbAnYekRWFY4sI2KT4PI6GgbpiYId76f5yd13LcSJq2b2WizzELb/7YmQOU
oRM9ZU8QUreIhE8ACZdX/z8gtbtikcHa3piDHpGsApBI85nXoFB5ZmbZbN/UbsAc0iOGkxsxTd41
bU+0qJxBZOFpR7WX7K7xXXHuUGQsd0rk5bl05nHcV6ahotiqTG/eDP4orU2ILwadi9n1x9ju/eA7
4IuO17Ikg03JpkYGz6LEfBLl1uRsUvoaCOkUorgoMUgzLp2cLH87OpEh41A51G2i1HNBOxSORVQ+
hg018T5v76fRLLLt0LizilUVDeKa2n36TdmodcOgKdSNqjwLKJ2u/euqlmV6VnLK3zWNGGErCIL/
HdT2Zoh7WGw9bPaZcLW2GrfbYB9gnah+yMtdu4zVfacCUtVhDgjmE6KODqSOH102KGCjJ6rUdAWh
jzpRBN9Yx/bgc655pRe0BM+OLuKqn1oZW1Qb7+16MsRp1Of5V+Ih8kAjkQGC4hFFGRieVc+GRE/6
Nq2d5msWusnHYZknf60iIwyv6EuEmykno9novvfOg7qQ46ZKW5piEYrZTTwToFUnc+WF81lDpe4r
PknubWoERbZpOe2jOGXtl1tzsqwBP+lkuEydOUD9iuKLFaM5QoWtDj3j60x6cS20px7acSlumkIS
XNVhEz6wrHhJMkyKi2ZKyO5hSIX2nRkZRnaGF64DPlfJes0r/JG/McaLPqXfslglUg29cskJXZKI
fCSKWzyyym0SjiD2cAmW+YY+kXfipqONyVNduA1HpN/csnvUN01dzjmnAgSqbZd41s7x2tqhjjVa
l4RvI0sJQpUXfugkNdIPHTkbmoBIep160zzeepO1fBvqQWXnkerZBtOht0/7yhfBZlqtTzZN4oU/
jdazrlO2GpawTFWxK4M5+ojQjkUdNquDr0vSAjKcIhUywZIhuC/6rs5xofBh6NVVJ4M4i9CricNC
BuIkm+zB2psh9QBOtzYFcFmXVUI9z0uL2OmCoV/D2PCkbCjfbee8tR4G1y0/eungXmFHu+Cs1ZlU
fpt0Xk7AJbj0oZw6l6iBGhHKWpEQXzo1JP0peNgUV5yo/HPJIEXErQ5IiOASmNU+7JLS3Pl15F3X
amBxiDmnieOn7kxhk1jT3I6+kLcBbbFH127HHAViAiF2duqscZhWABNKnXo/SlflPzCya1MsCvLh
NMXDsfjQ1AOZps0RQOriB/M5pTeUtrs06LPb2lkJbl7dNUdApq8BFBFQxZUWRdBLG/wAIJWYbdci
6U07enAJvSJh7qXZW5hLCu8hT/v54/td6DcwklzQxcAhXGU20R572TTtS4XoADYcGGnWy5WT9POm
6Nk60x5XrcQqKKeRVJxVZT9thTFG+6HKj4krvyFux02AjVwB66vw2gE4hcmu4PeLCnR30l1o5sj9
EKnir0zLQO3QVSeSFCkq2fGoBecPfK823XoI8J2jqEKF9v1BeY2VocEKoAofMyqC8HNfjomyraYS
LV6f8KvrD6TwzUPrVNkR0O3rNi5tIWDz4cohQVf6cOQXt6cvoqudmSIlR9dyYgPwvYu01uLk7z4Q
yB9Y/i7gHKLgw1klaI62ZRrVu6gco3gQcrqgy2Ee6b+/AYhZWanoEwDGwXpxndu/gd+aSmknnCse
qO/YA6qg/NnotnvwEh8mqsbXrjPa+f79R3trFGlweBYg39WLYP39bxelHj2BmwqrnRbttGnC2Tl1
oybZ96KpjyAK31wrwO1WIjrIjVckBANDNA2Cvt65Iv0kB6C8zjj2Gzp59QeMOJJTG8HEPaKX/afG
0d2mLO3mmKLo67nJpPztHg7mZmobqTOpiOedEQ8inCrrD8Io7b8PcFi92FFrBmiAiMrBPmQGWCIv
1EJ2XIuyRG/mP6gTYzqrR/cHzRjCgbwYxVcwNccklN/aAhngVcEP42eEaF++UUiRmv0or3d16Q4f
sqAFQ7mIDlQBan7KoIH8/gx683rI8PjgppFXsVesx28zKJNw842yQ4XWLJcdlfpp4xmFvx89mnHD
Ksv7/vXe4KTyCtGkWb1RA7be9RX/dkEYmqm5eGW9S6pSirNi4UqbxvaSD8vk51fd7Ki7vqc9V+Nt
g2/zRNfYKQztx7Y7hru0qbzzaijsz+/f15szC3UzZD0RI/cPZfCG2nOyBJ3JHQbLxTdjgFJuIPUc
v3+VN0cbk23Q2wBnyMlfPrwYZkUGaIMq09QAsshorgtrojNNlnfZEVUc2cvf2JRwemGjReSJAvEh
KF74beuNpAQ7TFGjM3sY1J62pkfVDMyXmSjvVgddM/7dp1x9D1D3Q68HHWX7UKpUt4XlErXWu76W
yc/Ay4tPkKKWK2nN+mxxIeQeeczXe9PTFeFU44YEMPCQNSoqxACyRTS7wFM5Qrye++CWEaWzUAeb
DIz3pi6Z3suiKNtZARCKCjzM++/2FSpqvQcUU33Qs+AiDyHXqhvdPF8MJrYZ+EhZ6fC8cFem20i9
vS5Tex+aMtzkbTn8XUk5rgxDgyFH54EbOJhVtNEcleQ92uS4bp8Oqk13AFH6WC4T3lCje0wi/NUs
Xq8HYQtbevapV1ETJ+iSLrpq8L6x8++h8GW5DUijfmj0VtuNrbtjrhqv5jFXXKnHq0UKeK5DkYW5
imgCgvKGxjLiRxf4/fUoAKdk2PBcAG0IrsBPBEe2hFeH63pRYPABukzgbA/9uLNhrEPE4JrdIMM6
jiINN5LOJTjB8liI8tbzrcc3V1nxCq9F1w3bpUtS77LALNvYM6q2OkU2zApjR5vqhMSh+FYzuCfv
z9mnhfECTcczIikMhJ6FimzQwdRpRoAkwIHkzoAydqdIY6mJRTiCl/nkIJKGXu0nan35rpVp+Bk8
ck23aUzSDwIsFi0JgF07AZ7jXggrCePSpuH5f9hNoEqtMSJtiFfkX2JPZxR+0uxC2dSnBsW0Hbhj
eRJG1H6EXsbr98fkrdlNPRWsPeHcegy/3KPTqFWVS5a/k1O7bLylFPvZEO4FmnUF2lf5MV7s0+Q9
fAechivhDUID/3l5QelXdEIrJXfJ5FJ2NhN9Q3CRzhcJBlbXweJrtesW4XxVhh1c5WZd3fj22CVx
1Wn3VvaA3v/+kKO0yfbNSRUhXLNO19/O6FHJduzrRO5wwa12Ud/IU+ouYocwl7UPQDsc2b/fWGkW
8huYVGAIBKvpIN6iWuHUqTkx5LmTnQ6d+uEtfroLUczZv/9yXx3zhHPw4kmzEHaDCnBwJe0mwk1t
uiU5wXIf+2bm/EQp75jA4euzYJ0/qHDxSld480F2k074tuD91e6KWpp7ED6ISzuOcR7qEslFD3xG
mwTOGRnDMXWq19nkShMBnMtOAj0M2c+X7w4H9KgJJqfdOXQiSZ8LMBlBILYKPatxJwfXP1PNNOxs
QZzjqkhei3bov5AhHTPdff1WMUd0ALRbnsVKOtTYLibSSBM8BgIBYXJqzNP8GMHYuZmU1w5HZuyb
1yKuJImn4I/C48unpucYgn/mWmFrqricHUR3rVzH87IUu/en0FuXglQZYSZuAUE+1FerB082OvTa
nbn07pYpVp7ZSfWxsNr8yO78erKuqxDqJVrCCFYe7kS0ShxwrhGvci50H1MVBhIq+lSmR0bvFZWE
OYOmvMXw4QbGefBy9GCLtZM75DhJdcunXvkPBuyHrR7zfuf5+E9rh/JTsGIPWqMtjizJt8aTR6T0
sWrwcOC+vHjfmM4iNE85GWW07+jQnAFGyk6LTssjl3p9zD65AuJczvonljh4TlgHlgQd0+2C3FP7
Upr+zULktDODRIKrIUfyaLVF3ZFax5trMqBv9l/XPaAB2H4rzAKLVRBk7AlTO6ZnVRVae7uW/b7G
jXKL0GF3VuVRxAmjunvtduH3Gs/qYzv7G4NNokeFiJiQYsghg0a7KYLDRd1hATL4GxDp5nlQQc1t
u+gYVe6N2cuUZfqi2+zzag8Gu8IcQZCfd7uFpuqWapO6aChvf/vbq3FVX1iJo1yIusvL2YMGqcX5
2HY7PLvqEzkuYodznR3PtTUfOaVeBwaQi8loyN5gkLHFvrxUg3JeGrY2q6Qtu11Y4tGZ9k79c2ZR
xeGMQs6RZfnmBbGANnkGG8LxwTEswtkCDxJ0dJmQc5xgU2/LwvsLNAHsA68oj6yOt+YGmyeqYsjH
AGs+OBtxYxZ4wDQ9Ggmps8lqz4yRNTQ3C4N6ZEW8NTc8bFxhGnI6oAH8ciiBSwdzGeGW0THat9aE
A9g28nNIXe/PjreuQ1RN3oBqi4+W2Mvr4A8nRVGkSPCqMNxFibqCCHLMN+2tcXtyyWRZBRAMDy4y
kNAaaTJ1u0lEyMXSLNinwaC3Xs06f/953tjAsPJaPSsILXiwg42ktzw1drPEDc51VttfpPaSrAfj
MmbzJdrz/mbIxr8tDcm0h1dEfXGtwAaHzmVYbQk55lO/syoy96ibulNoKjdy6a0jB94bI8k+YIar
lTLx06FcgAWrsJ6iut+FObYfU4HFXQ5teDOFNN3eH8k3ZgbDiDJQsGoTQCh8OTP6lfJN/NTvSsxc
buhCBbGrvPHIPH9jBXOsWQQmVE0j79Db068R/Zq1yzwvi2WXi0ac1vTe8Fqg7Ucp+f8QBkEIpRyM
qiyb4SED1U56xyqXQe0aAeN7wCI2bmvCwLwS83PR4T/+nP9f+rO5eU5Q+n//J//+s5EL/XChDv75
72v5s75X3c+f6vK7/M/1o//9py8/+O/L7M+u6ZtHdfhXLz7E9/+6/va7+v7iH7taZWq5HX52y93P
nsLj0wW40/Uv/7e//MfPp295WOTPf/3xZ8M/an7yx68fn/31rz+IWNdF9R+/f/uvX199r/gUIVAj
f77xkZ/fe/WvP3z/n2spntrIWkbk7CPUmn6uvyGD/yestbU/gB4Gm/pKm6ubTol//RFY/7RWz5t1
QiIPQKz3xz/6Zlh/5bj/pBuzClGjfRlSVLP/+K97e/GO/ued/aMeqpsmq1XP4zx1BP4n2YRsaSO6
ylJGdoQ8gXz65bwv06Sxm9LCfsBqgs66mjtTpvK6HNquwWTEG+AD7AvR5IbarBRnc8GTOqEGsakd
a1QJeGDYqVg4p1003pll3Rrlpp8sn38sYaU/IQ+T60/NMpX5I8D0TH/ymqKTDpCgp883eROMdxZd
Vv9qGadyAn6XZar4nmWj1bZx5Xf8PstFybeUAF8u+rIy+UU3mnyx13X2crEYFBm/B4ldTs2FYtLP
F7oEtI6rdD13/hW2XyOXfP5HUPl5uuysQq+3kbsJ3zmghtxnJ4N0NF/NZ9fHwLGryB+TdraWi7Ke
JH89FQS839Fm1MupQ8g0Pi56AtkEyGVYmjNLaQ+OkZ1kPIadLwtfpuylmocYJN3Kd1M+ufpd/fRQ
pMAll9GDz6h0Yx+BZuHhAPaCuSmL7wuSTvnjgGCpf6V7o+Cm4ZZ6411CzuFflXMy9vambLOGd9Qa
g8wf8ypdB80OG/4MdB+Dbg8K5vfG9IZkbdak/syH8twTwG2eny0avCp/NCTNzEfK8TyBHhRew3nr
dLxhOBp8WYSZif4E07Mpvnuir/NHFxIhc2RJK/62roOSL5TGIPRE5zhZx3aibsUX2BnIFTMOHB1k
Oq5zZ71ttMGgnsQtGiXhX9rBsSukAp0z4M+zZHADbA7j4vkh8yQFwb8DC51L+4zigFHSxle8mAUy
ZvTQwPiWOLNn3F2I+jaED9ev+f9gBtZ5HPncsO3DjqCaVowGfCE2R8kNQDWbh62ZeFGNgnzBWlYb
rXwAYyhI2yZ3+vx9VluNQLWHKM1Es60cCpxXv/6gnpz12elxlHm4LyCL9c5WPs9SV/gTy2o1d+dP
nt9oPpuymGM5OYOGlTDXvDjxNMFVlQsemhIXtxvAFaiMmPK4Lj61EEXTy6pMFsx2pRzWpff8YqBW
gZk9z522NGA7+T66aheIieS8B6AH6+uon1afa5cZRq5owoPQ+ZS6rTn8VQ2IEV9JMN75I0XFdcSf
H+35u00zMRgI0s7Wv/o1fIY1cGZtW7Dc4q/6afUGEGT4lsDoBNg0A4vKMY29US7MS90Lwd7Bk8NK
iaW1ltL2SgpUxW5+23h/bW4vNrOXZzjFLxJW3CPo7bKI0MU4OMPzSQO1EUC2aekm3hdGakr2UCOV
fT1rwPRdbHIz80dm8rhYcb4UoX/u2JPkNwYIP7ahLurs66HFZcb69aMoV2N+TJjxZdz2fKerqhXl
ELKUVxX6poaeXLWGtXm+xxZJ0g5FHQfxcABMVdLtQOA77ilKKeuovT9OL4MQLs4FqZmTsHAqkcMe
bPn1rCV2eRXIdsrP/rmeJsXT9qOLRJJV2+n8cfEStzjSD38Zyz1dNVz9bj16xRS1rYPGItxghCHA
qW4SZmZXx7/eCBZrYEriuV8Wfvj+gx4YKXBNYnyKbiagdJqMnKMvD7cCWlGJzW6/MTOA6/elP8EG
OrFSiwUX2UkAlj+K1NDvRppi9WdnzEK1xA0tmaX6kFnwEG5SqUJ2UiuL3LOuB/R0F6TteqvdZNC5
3NiVi2z5sRvn6P+N1L7eOJ0rsiHwEEgiUAN+eePArIthMpduE43Y/H0pmspPLgaRcseh7Hr7OgDR
HXVQunNZ7CEURI4Jzi0t7LOwmWT94Pm1btKN1HnofXl/VJ+08X4PGVZNSpRSmUOug3vPIbJhHAFg
+1iCbSrdlszOaiUvCZD7swtiOi1q7s/NTYbKm5qsBOVYFsq4BzGJNaNlpAA1Kz9gmmnOuvEuDXJO
vEiA7LkyBp8HlRKq/lUb6HWeRA6CAuddDXBpV/S1B88x02LmN8FSs77ff7hXWwiVNY9gmbwNa0Xi
tpcDn43oN8JurzcZ5N3iM9i2PLuFag7m+v0LHdSA1jVI6RnVpxC0EdXDw1dcGqqqitLmRBlDRgHG
H9iwTWFnhjFsLLx72h9pqBilGYTa9HGRk88vQrefQNMWhchu2znv5iPlk1d7A2q+1IiRpgFsADjm
YOJlvTuYuVdCS1VWbX2UUWuoR5xa5wSWwpjKywBZRv9Ih+XJ8enFjFq3I/yobRSqMF46bFh6jZ7S
oDPyDZFOWF7ZRmTq06lZiERm1NuLeypz2kMxoOLnjgD5dZOadYPga7J0vgOIbwmTXQ6ocnnUWVhS
vyr83ve242yvx2Dm5JlxnwjoTFeFl4XTl4Z4Uxx5jJdVU94o+GCkU6hsE5pTNFkX9W9dkqIoub6G
ZScWWeqHbhZNt1LNDamhlrpj62/CMe3Nqym3J+/rCFdUD3GrSEh3f3Ny0fJmKNfOCaBtbupgGgNY
WSBf6HKD7pft+XHmdsyxafYH4953dM6ijLKErSGfak6eZXCE/8VuTOaTYVeBe7ZItxDb9+/qcG6t
N0WtgglP+er1ppY2C7a8QVtu5jDzBW3b0dYcPAhK5FMUt93CzO5sp2Mvef/CJG0H+ylAAOrJdDTp
TiNPfDgeQxG0cMymHPPmxgULjvEOHdRT1DyKBrkgnIAT4rFxhF51akzVFEVbG9hnco58Q97Ths0s
pKfj0esIQivoPhKub5Yr/CmqwhsMxGIMe9A3Fm1S0P6+hLH2YLnY4ZZxEYJbvJ0ymjAPmSFs6PSO
tTTLiYxE4X0tbB3JaluRJoYnnomd7elUy8r+GHhJCAxUVVh0nCHzMlc/Bph4/vXS2qlrxRKIYp3Q
PSqCTG0NIKwpmo2WLqB1WabI8+YM71SXTSMtYK99wIAAjajNAiui3VEKSBW+hI1hCHaVzAij6rxp
tGMgf63yVsMZnJypuwz9XCT7ANw65gJm7ifZQ6eVIX7askH4CoNIMbjRLscmLLjo+APT3/q10Y4X
RGlF+8hhMFjeaQrxq0AtfIYh4RcCbAAFv0JfUtJp3SyGYCv1n527GJgkcJyF+amTAHSMIQ7XBW7C
jTWob447ZukXmajauTaiaYwGlEQcaFeQPEbsKTd2X4zJX3VRLSqEZDso78SuNaD4rZX0vLR4lFVv
nkgQY012kju98B/CAdpaFesZsP5fzWzDrUNbcD1rY+hXRvC5N6Qwzqql6ryLZChNaNwaTkb9I4IX
7X4doH4BaibXSkxv4+E643Vx2/QkPSDUZ202W2OB7fDQpp7HDDTQ2XDKEw5LuSCNYk925u1LW3lJ
fgKVL1wdxtkRjvUBKZgdrAHCCXaotSW2yiADZnu5PTFAIl3mliw4GYgpJFCJJJ5hmhUIvNBrB3xs
r8kC0tIcqzlNNU7zEt2tVm2DAEj4hdT2XHymflrJOyPJZXQKzwt1FcylaSve0oPsqgEyv9EB17Jk
gjDItutqR59ifxk2H4uG/PzPKosqBT08lCntJJXPNdDmHjrzWWItnPuwAjj1CngwPQ5fkvT6Yswr
1zwJAg3Tc2/A65if1HSjCDo2/CVSF1sHljw3lxlSnw99tJ5P8gZY9p1nq3G+cxZeWLeH1FTV/UlV
+pK8uzFLigqxF5Xav5oxcSb4ttflCDpoVpZ1w67QBFDbs0EuLgvHrt2LwU+W4VHrJp/Q6nHzZrwE
/U8Y3S/p7JzNKkuX9MQum2BJzlvEhY37Ia/In8UC2uysqq1hzUPaHJGk2kNQY46BZ6ewT1oXt2Vv
m1qlHM+9mdfF4ofFAUZoZIknnySYe2tVKWoyBza67NmnZTpM2YcxGpNIxhjkWMRFlResMcQI7IgR
bIbOI1JMZkPN36rRYoRL7TTzRT+Qlw0bQr2at56rwR3vVAjo7C7JxLi+urIU3pfBz0nXTzL8yLjc
Erbzt+gppTLmSjAsUuULFmiNB29/lRZAR6g8ldRa/fNGODNBKJzTkg0+sdI52c+6R04oLi1RF/so
SUdGO2j7gm/yK0WlB/SC3/7oW2Q1zL2TzgVnVcbeqBx2AS1QIIFsOMnygX2xC/AndFl5CA3ZMshP
oRAsHHdlmEbel3IRbf4IIXM9AdmQ+/kbjLmZfwy9HOdvQQu8PPtJEabMbm1ZN0j9C8ktONon/enl
sE63jPh+7K6f49NUNxxSKi96455tGMpvjNZSgqu40K57OhqQJvb+KAgaK38hoE2z0c/gPeQUVJFy
oelVfG6Fn4bBBoURZq6GOuufU31gihhup/urZIxIWJMVT9fGsuwTeTbmCMFfjZCq3bNJCKf9QV2e
W6BLipPHpg18YtWiB8Fw5ZXM6m0ttNX+eE7mbIA52e1zZN12kujbztgjYFnXRomcTjMb96kJ1v8x
pYTDmq+mhYh7tAeT95qYEEEfC9VbPgibqS6Q05mDhHTDk5nJigmgPXpfPNtEzAiK9UzuSj62xrLq
aYYC/hrEg28pGZ4vGXvDDo2bIncACpcSQ29sL5OL6WmJIB80Fp9Dp2/YRnyzX4MEy1FsTUB6mX0p
uch411A7rx8EJlDqAg5fj38aJ1u71JTyFBkG4O81jX5OjVS9cPvQ+XgizijyJwg7RDld3fBAAydZ
vgCotZmMlTcRHRWSE+yEIHK9hwqtAp6UDNHhVhztMqjSbpgoBq/bhXJoEaYnfUOZzjGzzrgvm7zn
g4ZtabbN2nX4Skfz08e5dXm5cJS4Lr00Jhg0GB43CwvmydKUCG0MgIvmj2KyPaZfuXC33ZBbWbVZ
nKbLL3VHHescz72nfCnR7Q+adyPbSe32mBHughblx7+q3q6rWyt30WvajLaVL2fPk8xdHAMtNp0X
tn9iT6bbXKHlpqxiU46VLVejwL4+DQh0isvm6XQoOImGb45JMfiWHJOlkTiSHW2adTl+zezWKe5L
j64x1BjZjcZdvRR1ZMbFlNm22tiDl7LwyShMxLjsel2avU+N6wNFxsa6g2lTWZ9A4y9twmGbdWKb
jUYb3pB69llBNXaBYOmaI1rKWDjMaIZJlwpZbOVWVezhZxcsXECO7ikR5BrU2mnGIOvOYYSGeunE
rkuTZboKAKq3n922aL19s0hmSSZylVGEDlQzaHB8umcc7a7ILaZObc7dl7QrsfzZ/KqLqKXKbvPe
YnqP6FcY9+DT5tndttU8ga+s3FA6cpv1i++fS3Rl2h+OMRvTR4BaUUIxGs7tlxZ2r9jaad8N3wv6
NdUNgFw/7WJ3aVjyNtubT3iTrZk9ucNQfEZYgAt6wlmHbpi0XVw69ci2kWjqhJ9lX8ohvMyDHCGB
WAbNkOxblFKsOjaMlrQ7Vrm9rks0lwiP2UAHEcE3peSFgLMwiuDG61hviK+wa4ttzv9nGCoDOpxL
fdJVdTyB6QmOtC0Pw3HCEKAdRLT8D23nwwqCBxtOhqqYAFGiIvH9VwVZOBRsnyvo78f/rxIPeogo
KdPvpRMGtv0gqaU+LcsmdSHWGTOrD05gwpg0T4ezaWF86KL3kLEK37/sYZHvyTwPKhFVKM6sVyia
tMu1QQTJ4TQJqOIbFU7rm0VNhdc0zsDfzt00TTijM2sZOCjfv/waz/2eVCPWS5WA/QmZSeoFT/Hg
7+loPkdG5ChYeU/dmOeeAZWkhNr3+1c6HF+UlsnniC5X/s5qavwyskQ1i92fgBweeWLxHJUw1nVP
1WR93rayx+ar8qW0jxZ8zRWD8NtDYqdEDYqcMiKshaFxWEVpptGyslk+2k5JYLGhvqg98v22lwRu
AqHixdgPXd1rHbuRoR1xaWi1wLREEM/31LZ0zEr1l31t6eargx5B+LlL/N4Tm6AeR7u86J0pHNTW
LEsVLSewNqUzngeTR8cGEV17jDZjG7kB2izst/Otj174fFuQ9xFTGYpwqYeb0uWuhTlS07vjFpyf
cVlqJL2SfVQna3m3AD02G7GzUlSjfZoFlg43grKmTj/iRRzYfTwWWQsvAkENZLxPzMFFnJG0SYyK
Kgea7KQ0l7UdLB1Cwy6kT4kYT065NTaSYiDDixI63NM+k2x+wQZNt64ftnBeimRBHbLIBm9n+iUx
4rWApYosWRWIavkejIuy7kN+30+756XZ0WIRYmNglRUG34yCetpnPcwic3dmFbLzXoQjzlDpORXf
PIk2tHkEWpg0vIbxMYdgLDx4qricNRfanOsGjTqxeEqf0jvt/XtlZxOPBGm+L69lU9jS3unUoji0
XXrktasN4nct3XlNJcuHFMsRqK2dAWgqMjbojXkKVQMbXTosR6NFcLVyar1p2TMZk+h2MFOE1Dak
o+3iXWgGkimqXJQmvdhvrbDNUU32sH0C0wCcttvYhccZHy1mh4pZnedObezsGTmTB4hfuIgg89N2
SAAGDQWyECJBUqT5PhmFW+fbObPLNt9O0i4lNcXeNElmU3dwF8xyF4uTGB2TulA3rc6FeJhrJHpQ
vmndhGdBfnYiqBm9Wpg7gfBGhXYCDoe12HN6jAINlAHlRBkbUhal2i+yqxYQjwlUJZpXwwC1+Ywa
/8LObxhwRv1NtHCAufwQ4yQaYVO5PrbjGjOTyUmLVt0hz5kjkrUkmc9Ktnx8FPpzr80BxsZVyAvt
Nk1RRdYPtqxp/kKhI29ptqVhP7g7ErRaI6JlQPS/pVo2q/m0WSahEyi9vW0Sq1q115j+aWh3afSN
agDY+TgcKg6yU2ZmX1onM7ptRb5pBH5cy8lCTcJBcmiAV43LQOOoIds71SBMTc2F4kF+xwGn+Fwx
tQpdFao8C05keRss6SYhpPPPB3p8aGlEvVH56QYadVBftWKZrOIH4fnMdHt+yXgphOoMRVWHiSUy
8pBvjLJQf010ijM0M1OOyREVCZd5sxl0M6xtrm7OGO6+Z38Sce8aNQs00IY5nTU5NIUfqMDSp4Z8
2/ALt0eahoOWdpRRwZxbJhqMY7rQDTjrSCr5Jj9DLOOHN/TGJL9OLhBF587LBIoiqIS5JdsPBHAp
qy5mV5uYrxwEzaxPMKBrR/NK1BjZe3EbSLQcViXFhEA0Ssf185rglnURNMieCnLrppjFloyHCT4h
dMbFu1ADrz/PYL5zYz0BGHtasaZDVukEfNPsi5o/sCy9fuHzvc6cf2tHd/CngdzZq4fpi2pRrv5R
YiLLWGpeEX+dzGPIfzyvSBkK3aL0ddk7MAc/mo2RRjdWRWhfnIL1LvSnsVtAD6AIuC5QDdZ+vkXB
cEwulZkiK7Ej1x16dTMH1rgWq2x0N5n0Po4xPLwS6ITEHWnRfPs8/s0sEBk7xbSaeBC9s6jSlJu1
r9GrfP52M0zW965dfooCEoqe6oz9x13/8fRKcgNCKU+hp9D8bHRGeqrqOmMEJyxUisuAjro3bcrJ
rNLuJKPxy407dPPbHx16Wyy0BVHkSm/nAZhBhOSWOTL1jLy2uUSgUej78Rw5PsdD1fO2VWA11e+N
0eQlYZ2bdWqb9um6wutQrW+kk1Tn1DaHnqw/kVEU/Op5bLPR4fnH0l777auVKtcp2Ltc3sFTm58S
v2QXHMJx/VXrBOtnF9fTTJJff69cFODQHNMcaxTjgAC0zw8TCJ9pTTtnJewTNrY8C2q5y/rRinKS
yblXOkzy7nlz7aMwUWeRaNcvet6Y27xcFwOiOOunUK9cx+P54YsB8UAR/xo4K4QejLClt06PmYCy
uHx+wsVfQl5nOpM+fSqNbB3r51UUWFTbxLZS5Xo9o1sPFTT/1sVZOo23Pu7TMzWVOXM4ZARTxWVo
GB2nPEffekr5ZVQxfF3m5dVliX0r4nWlaU/GT1EP8zR+wPzc4gFNsHlc6vl4RD7uqYOP9DCiW2mK
ptV46juI+YhL363T9iOKexbqoYQSY7VsmcaivKN+Nmt0e6VLq2zvoT5CXYhgqkeCGeeKHrlOox44
+3FE6FX5GSXZnqjgeVZUI0pve/Dpa447+y0RPDBNkjWk+iI17mHdrb1A5RscvojntIQ6E9Xg6SOF
gEgYsWeDAvhqG3NIWCzLhWx1icaw+6vSVp3+NSaShQpJySzysx6pKkSte8Uk/mYiJdN9TqMUDcn4
uQyG0impDLszabeaWnjrD4BE1vpZqMEPzYj6jjBW4oYKGVdjrwileVcYKUKgeB9RIzu1m3wg3bFb
VAry2HPHdWWPUE95d0WTkxDNpV4b9L+Kk/3CvfZneS8pa44ziTv4Oj1mhNx16/Cz595+NHv/n7kz
W24b2db0CzVOIDHjliCp2fI83SDKLhfGxJxAAk/fX5LafSz6tBTVV70jaqvskgQQyFy5hn/gRx1F
22rfok+mkYke/MZCWVQRJXfMws2FZC/MTMBuam6lgyVh+jJ47v3TbQMZO84G5q5Gr3S7r/5aBOmH
KnAUf8Xxz5xuQY/JrH1ycj5DB3GHjgmIkchUXG4KYTfRvZ55H5WDuN10qMm22sM5XC6xYpdbHiCd
r15YDU55u3GamY+6iCz+hhdt6F4HjVs179KIzkx1wM4FxEKPwgudv3Pbh4rEwIpSH+kXFMq2qeCL
aBebiyIHRlgeKTX5dpof5u76sHaKf5gz2/YjBMmpLe4ZxodEL2RtzYnUicpm7oHcsmkvzn0zO48i
L9A/PkCa4nWvuUQILXFHJ+jKvyDmIa65m2PJeEI4hcFanB++CgW4DL1mbv5zaqCY0NOQli3vAmBq
/OqMTjlPEpKZ6U+lOTpEyeagXIV6hxZL5O7dDPjQuItSvaZRsvnIwRZJOfa03dTqmjgYRSVRIEK8
xvsbm5SmIz9W60biOPil3fHqBvKqT+vKjArVHvA8LkjgNSyLt+dCqS3sOT0WE3JwQaIxiO5zlGq2
ISLzYeOyEE5lvB4XFsi5O9AihMxTpS1ZfSdbV/a26wMUKqc9iS7PGw3Y1ApvHYmI8XgzoJBULHey
b+sc4KU7+e2aOEE+NXSMenxcblGhTof8fYrskwnmm6Xi4mqSKoiPdbW4HU129GgK/6YfHaR9WhQ9
RZbV11bu2nilzAWDifAAEqs2ejXduoIj+au1hGu+zFT5WQ0MCBVNt8ZADZ7s0mEYFcddA4UPWcpi
GY89f17inwyLKhedpGmGbhf9rFsfjVc6ssFWrOk/3oyWF5sGn1lbVylrI2wYtBzVKOpADg+qirs6
/wGvyVLuD4OqgoGMYtAgTYHo6WHTxJ9FC2LCsKsQhRbdmPS28DSixpUCW0lzglQGqVliRlDEThbu
u0XkkIn4eax9RLcvMRbYsjfbpJDQ+ttrY/SRbrJORvEsmLVFXSf+aow2jUaqr2gy0vpdxIGbw8vt
ig4BzKQZh1D8EqTJaXwDkEmI+VHQP+IukSMN+TJvfjmwYAa0yeYbG975SrafN6IkZuYzsp909SeZ
d9cFQ//gTlQrM7Y95duUTgchpdKNxKNkmISb6LnyvPmm2CK3qG8iUzx7iSTNDK1HG12FcbplzlSN
OZPHPOfLMkTg+I5t7vPrrixI8m6QTA6liuMjyeW7dvmY9SBRs27XF0iGB7/szQnb9rAAnKP6LXp6
nd5Nr5nNUZNnXgy1EJWuNUgK9JHSL93sV4H4rHMUtb9k3oRO4BXAv2ziVpCOkesDc7wQgQc74AM9
KFut0fe6RRREfquCXNtLEoc1CmRXflViCVCiTNNIybnezjEdllD1gVc/LPHcivKRFLThJ/IJmSdS
GBlVmFRstMR5qI1qssq9moBhiWXfN3TjfmQeWjcZ/O26XZt9kAZ0YQ/RyMFCQ83XLq+kD/Cfid/3
lWQhoHRMf3O9Ll07zNFzUn2cRbfKjlW5HVvQdVt5X1rlrIu7EuF31R5jxdGCZY6qyGJ3rNjZUvdA
pZSfZ1jhTTpPD/FmbfxEvqybQjl9G2t7TdahnAsHCbzZ3Hzl8PhJF4C3DRU65NFsuoObbzYyJt80
kOmn44dzlNachf3RGxEHdq5TfzN5brsE4yr3Ho1YFlIJ+DH+4m1+i+g/alMokyV95K/MLnXXKzIQ
VLZxZmH2UvEetURIGVGYZmkQ1xrnBvXvR0kSQ2N3126z4YE3VZkTlsZO2BLJTDvMVHi18v58FIH6
OVLKJQyPcxFHPxe8fjYwFh6g9bq/RVG8Y/RHcT2nRrEw8mnNQH4pSoaN4PLRUx529eqk+r2mi1o5
u2oOgKmmg3Si776Kqsm7W3rabfLzkItYv++gVMdIBM7BIEY0bZoiVcvj4oKMKNxk9IdpGz9Lg5/7
1hN6dflXPzOXI0WN5JL773qFcKTHcCWs2KBgIUwoQsDcTFdatB75yzFuewuh+U6hefihc1yYEYdA
T3VkIaqM/La8kSyVUN3R0J86ZJHtjOmgfTtag85oGtW5wORihqSARKuLW9scX8t1FkazwSk2C/0A
LxZomAayimsM1SIfWcBb1LeKodlnPZGpOWJSIlGlt4LWtvGHqKm8ZjrHopnCoz+qcVyTINqi1Qd/
13lqOHazqmqBDl/WreJAbSbdeC9QZsUIW3Vhs64gkfuJH0/p9nj5+2wYR5UdR2djvvhmIQ66+CfM
mEg4N0giS+5lSm1Tc86F3/Hfpiqo5D2GkGBCd6E/LjUW290WqWC3IlUumj1ouckNd2BYyPwStAd9
5DidqueH+2IxS7hTpckSihpGuESInk6oRSFMlXQACgOXbFeGi+bvxJKnZPM2hUaZNGgwmu9D44Mv
jtu7fImzdG7Q5ZXtgrx9i1U34SlPpX1XcbRNNvxzXy1UsBuHeX3M0n7jp3rQsPzeURHbv5vZFncz
5wRV3phftdyAUzvMPHYeThcNAmJZh4RY4qrJPAKRkeQ4NzLqGh6PNwXmv21Wy2CtZxTHdwCJtqV1
TaoeBN9TifhLf4zdxVxanx9jE82Vbq9tb+FDnz+68kkw5AFcyDR6B0IElRsq0JlY5H7IrbjJ9wFg
XQgf8CxJWfBTywumDkAR6wrZceMOT2V9rj9RoMV5KeLkafbkyMI8KsUME3X3PDIfMD7d2//5tH3O
Nz497qlNzXsnRJjORNHrjRvJphB1l32vvZLo03eLz38rqav4U+PgkfEhplXBLwbJTb02EACsD8zr
w/qNpuHFb6gFzLtfrcuEFo+LIK3KaYdQFbCxxJq7wTzfCGDKdKXHLXAZ/Liiinlz4Cf46ac90FQ1
gytU7e2q5jkHWxQqKs/esT/WKzpn2zWpgimuJmdQaEaDQG6FTLZmMi+3Pi+rviWLK3ZZOGoGSOFc
m9t7eiMWDt38aUXcNvheIkLKjwH3NQ1pqZ3NGhM6/saupvV1gaBWIQu9IWZfLD1mQcyELP8LXscy
p4nnO7yT3er6RSUfinMLEx19zEZuspCstKTT4ANuvRc6GNxhR99wpZ8bB1MbfNMqc20ypKDPaBUI
usp8qmoJsStI7CmFXvKuxLYv18do6fOlhafck4Osbi3nR2/QeZYndePFM7J4KyA0vfO6xqGgtzLq
gAd96j2oiC0537eLs3CYPPUz8BBaGqTLujZ7m2qURxnp5/Y4P9gL/gcNRwJ6yttuypZhapKZLtZ8
i4reuiHGyaiRiAz7atFHJpmz+90RRHqsI2eAodTGoMi2D6OsvWYGFgQ4Bvx7u/nT58KxM3Uzn7rh
eTT21NMyF6YWtzSy/j/XLq/D+xQBbqxDVxuGMeqBNgKdwd4ewbLf4Ixn2hD9MpqeUdSrjg/rGANg
BuhDSZODtsJCjXXeIvW8mHYFwafm73goZeDvMD3W3k/6h2hmPJYbcWKhy5gKH+6yFazhIwzmaPrS
u6jmA4HAEqvXj1tJfrwdLYwjh/deqQLZHyacFtbCwELWCWDfuRs15Yz4xdex9QdoIJ0zU6Oi1+nY
GymNU+lsbvZb6ZnearuBiWt3JPTxdNPPsemTNVFoKBj56UENHuUiot1tCWjgSPpY51GSDb32f82Z
51qfVGc5LWwFklkMv7e1oY/4MPtxH+DL4w2zXg4pPNoKEvNoB+NXfCjtiKzEIgf/0hV55o60JrTv
WsfKAxL1LpxjUqQdDFMarjelrET3LV2ZY75TDEAm0E2R56/5fz4sg4I+V/vVqQfkvIZcMTE7dDCU
7PkAo8g0Smxpm10ZzTJU0dFFepMdO0/+0uXvmqZFmP6YNsG6fm9HtTjfKTz8KX43VOBJ32GQadqn
mWx5tk9BB51Pj306Vp1ZCEiamoVgYiVPcsgn079SbSxoL2bSjEPmWRjg0oJUTO3u6Ze03cTEBKwP
LT7HQVnxqh9TE5SRm6aVYZfLqfPWuK7pVi2oiDGTODfVpCVIcJKFyb71KcTySWWgx9n6D7A5l6q8
H/hgKFrbpeeOFDxMSwJn3+ZIjbOQTt2+qYOe/zmVQcCiz9aG5ildZCnSZGwiu/tcM09ZKK4rlTrz
dbf1K7WMcwIXnDtsjHhZRQfgZf2mUANtHeQqua0xGJ76hKrqyItQns029x1NaUUXL9XtlCKkOlaR
1Pu6VCbWQS4xjwZZ0YXWmSCPYT/6qwKAfdg8jK5rpsudWu2DWIVn+ruEc8uitEKTUia5HM2Ph2Nv
5kxk+6b9CGjH9EEb1Ix5Zfr8MF1v6KbwcfTENFpvIoUZm0OZ0SMRg/ONTaSCjWq2AoBD0+1TrWtO
nsEJM36JAhy7jVclPyCDg9GutPLDiPFMU6BEgwLKO6t0HHGLH5KWb+LUSC5cVeWKNDnSesTPbj+O
y7IiYKHE+raCzJZXDLCRP/6+dMD1wNBoBKTDm2DWlQ6SEOCIQxF8OmWzqiJxTtLRq7Jqh4lX0KM1
H2iownsmDObDnjdrn5V4z96opl/4fs6WRr97as2jP2fiu7/SzvkwucyhPyqLZtyP/NwIloUwbd40
zzceDPVSVJCBYHMS6SS3l2i1EzSj6yX40Ig87aq7c9d9VU1Ee3LDRCnd/obNV5tDROq12z4AJcZ9
7qu/kHKG7Oderb9Cq5pRKIp8yCek6EiB9/1jUEgD8QK2D7aOnmpr3o07rwUWlqPGf9KCUOmiTbvT
ApVU/9D5yG5C+/FiWSDg6qyCvK201mwkSJLv31goz42PJBFtkX2aXAAHiFIAfcF7AiSaxTpy/TFk
+bflEHJNe+pJKt7XepC6+ybyUpnVcV6b1akl9dRVbmRoOk5N2DpmsnHqMT81s0/h0mk9spKun9n9
55dXuONp/nLadPX5KbcCyFfLwCeduA6mIqv5co40MZpEvDyHiRsGI61yOap2LiLEa7lvzx31YHRb
bBOwCAtjzJHP4aGQZqTQTavmS05JzP3ZQD9NRxrZoM07chyjs5jAGWP7e4vdxWUyYURQFPdTU89D
fsxJk9xmr8pUuuktLJxg7vZ2t8nKTsAt18O6szKtJuxdAAjKb86w0q49Zn2n++ahdUMAyH9NXt9a
2GroXEFWGT2PTO1BeoVq0NKeZVBM30eQfUwJl7jyZ3/vuYM5fuGjedOYLLoKJU5iU1Y4CgnoSfOn
rAa6SXuhlpH8VqN9Te9yYeSF/cDWen6K7Kzlu3Q4Nu3F75ctF65OMJCJ5bdUEmJ/DHWvIvUYTUHe
m6Nt3abPlesu4VsNFHkIkCIH+NTuzt19nBLNgUFfiRECCDQgqOSxJtJ054FLj8cUiyjlUFA35y63
pbAW8HdzRtVFQAtx9WVYcx5q0Ekn+bie8qiav9Dy9zbGq9JuUm/fxd46Dvtxw1iOrLpcaJrQe8/c
8G/y2GzJ9hsVkBvuqwLWXXrTxtLN0t02QANBbRdd5aB6Q1XVWdFxEbBW9NF2xrzXBybOjsa1JsJ3
D0sfT/llc4dhU43HjJN3qByDfCzK+hvCjTPfj5rw5KyJSn10onftCSNk45mwfY4tL+f/a988IUb6
lfCpri2HAabABdb9iB3cUHzXcqA7XGRzP+Q7aKhuQSdE01Ioj01am7Qyww/B6/YbmiH8CiZKo6N/
uL7fEITpptCJ1I1voq8s/FNTPWtU+llHo2iHpNR02klNz1MuGAqmtltoxeh3njeY4FUPeEB91nUK
+EGLNew+zkPgjet95g0IezxotYrqnRWEK3euMW1oGZ0Ja2xigFlDar/pPbsZ7XuE1EoB962PN9+5
qizidMN4oq7pU9mT49Dqo/UN3fLQc5opyfLs0qa+hlpUDdaxXJs+pqgE1pPrXdkBlN0gIelFfLGs
sdTzh7j1jM0WXBYpvnJAz9F7eimMbnYxZh4oWvjrQG8DI8W1A5qG2qK7/V10NTMOVOYdf6wOWxHW
4qtws4lf1LQm+TfB3fxakGDuJI9NwPA6vMKoqJTwXwu1GSczGMwKoJECnTol8dCp/NsUMbGssPeM
/Ly+hvkFYzlp19nW3iE9zfXkTChoySkqM3XF+y+kZciFo2nh+BtE86uNmZ8F1x5H9WYf9NZk+XI7
L80poNfSHD3DLM07FYZfRwR1qHlBF3QFLwvnCvN30ght8y62SdMuctSs0aHGniFb356HV0/bKVuU
Gb5ZA7Nt+4o0kVMAZW7q+ul2nUA1sUpSyzTbtW4KAAhZXNMPOLQdeizTIVTQ3qOrKFoauRzDTrGX
d0wQsi28xTJg1isdNJ97J2Veii28BltM5v9xlF5ZDB9qO1+j5XqTpT3hE8GcwNytxp6rQ0GSVrs7
3iJvwZtNhVrsFPswJdIfQZeuWX707VL4086quzX9oUGWdB9Fnnndx4icujVOjbX5bFUOZY6iOHUY
cHf073j851mhHmoVW3RnssFHt9duXfyjSNzMAHfOBzPUBRetGAk+jdHP44Bx6M3B/vTokPowJcfT
aR8tm8kXnhIgNqAZ2z6dUQ29N14N7EhzP34ZmYkt3kL8Lgekn343wJfimoAtArxAu6ELRkwYzASZ
zssZvfA0AUb51/EzPODjTKWsrBWbjKNVYnSDDAhoAu+mnJrQURwd5PToVRWpjnHMbmzLegWZdRIe
+W9cFvqIqI6biaMIYdu4/kmg8zfwWTjGAJMxSdjHpJyonTH/x00IrExkBk9L44EDnrap8r1j2DKc
tQ80jXGz2S+ok6Y0nfAYKynjipWhVUoEhcj7H1wLo12mg9CbzJcTX9XPKeVrDiRhpmBRgSLOg1Vp
E8Ayf14YiJ5ph+dx4CothnqUetAMvEKeZnftApwXqjlzJHATqj9gfLd4v3A8A885oW6f7wHNm3c6
hQsJ/aDRM7ApxdvCYQywAmG/RqzOxZoC9/pmKHZymceioAnuTNu/Eyvh6YKbpNpBjTsAWBhecmnD
ygunnpbkoR8Xpz3auErhAdgA1Kfwehnb9xxFeL4UwrS24Y4A7wsMyPG3FylB94Byc6KD24ctdVeF
KYN0qvrzy5d5zp378zIXEM3/vgyDoywIQSih+wWOfUBcIqIn1mGtt2dIMwXydkBdwAK556XGz2Me
J/GKfqp4jio0d8OjRY7IxiMcLuglkw8TvipgXrGQFrNvPq3IobGGyPwoYxasZViaaRT2zF1xW6se
GK0wCjyvlXZuB753K2kuDv8ZaC6qM8CDlx/Zc9QlhGYay46haaIubgC1F3RDLxzm3A1hKGDVZWQN
clpFKOW46BjUSedWqFrA7EY64uXLnrbu71s7pBHpIMBpG1Fb9yRb8vuKAC++Bauv8MQDaUsgG2OY
Wv901UhygnOuGXTgjcfYfRvonu85ds2Wx8aFP5wH3C/fkFkaz+4ndIQTo0/lRb4jAIQ+X6Fe5yuD
7k0PHaB7qGb0tJDomDsfD9mabvV6t7l2Y9QoTlIgVciI9P3Lt/DHgolgVIXsEZ9/UFO73JA9xIIA
nI2B9Xpmgq1kqP3v8OC3pt/3E37CXyMiVI+f4yl8hN3mQxw4VySgLpa3I3706DaMlBBM689j9Zdv
8jnompdmyLXmSXFZFrV/oY6A+geQOwv1JHS/DdVpPVPuJSu1hevWl6yffwUMPl0StVAB9VLwfviX
568GstmQ92OEt1mEZ+z2EQ2GRl7XvUBB9C6zg8VEa2zQXmNxX6xR9i3dK/RhYRSjaUe76uLCYCPw
8tWTvUfGjt9O+wvohiyyQn86ay2cz4Csa5TZpdpmudI5LeHj5K7bOa9s1QshAnM/JEe0xaPQKPp4
l7Rq+jJV7iEqsGduaBD2Z6yM6RHST1FWZU65M4AnoseM9Ie9GNTEmqnKs/ck67DYjvyoFRfg68Zy
0VdYl03Vg4KSwObzsbfKkjIfoeK8vGqc57RBbj0EQY4YpItqJzD2y3eYdoM10TLgUY6+QkgDDTV2
uK1W8FIFszz5Zdk2MOgJHtuGD9T5UGo8aKv6BBYpHXBGIbY08O4aHRrYTujlIJUg8xgUTNh6JpwW
J/COwE/GnPcOlPjbbCOFAct7OpRf/lB/vA/kLSPPQ0CajD60/UvC+dps4ZDXhUrgLZ0BOsBtHtTQ
wy+qCOSgYnJDpFh2CoosTLYxlwOTaUwPsNkJsTj1rhfGVNXDWSrDyU7oSRhuZgQVOYzMhsSzKyh1
L9+5+3wXE2PgvmDRjeyCR7yjZ/R8S2EJSzt1kbg82ZUZcIyVBaqp9yiFPkWacdIPCC8RkhEpnmT7
IVB8+h1GT5TYKgQm9GsskR74wdzG94ATV/3a3hVy8ec3eHav+h4PV13BKFpVRoORLqsDhbknBcAy
G9CXb797emPSSTkAS8H4i3oXm79cH6J4BI4N4KTZxLeqA+P+j28J6adJ1eMI3ezXpjDhMQfIWj3Q
z4zyn2j95m5xcBnzBV/XEE7Yl5cf2YXSgnlkwA0jIgJCjQzbjM7W7wcWuGYJLwwjA7i1Nj2Sp5Sw
ovXI5jonnGA8ytYHBFDV5Q/GsmSDsUu/q7jKhrnk2yrElctXsuSLY4M7I0ejT0FW6HCWI0D6/M5Q
OXY9guCW2CcWYN5SXFELiAqyLEZN1G47mbprsWJgG8IWhUDoifJtvzAp+QTCQKtxX2dV1tyKNBO9
SnLgA8TUlx+gSfH++4A1dwlIgsPeRRTCh+px8fwosVLaHqOfRB48wK+0GqbKpj1Ujy4s03YWHV7t
bpjD2WsWr39NNuDP98eZTnHrOFA8QnyALpY8w0eHN1BgArq1E8HTCVOjG7CNTT0VH4xvHkI5J+Jh
YHBYVKWpmxIvS6zS+XYM9ICoSUeasPTyk/nj1jCH8G3sBeKQrgBC7RfnzIBejIuVt7ffmpIThl4v
0Di4ZKj7JTHGXs6jCyqDe1l9O7W/rj6wJonVYG2QefCfxwoAeVqXf79yX5dBG+USNBYIcS55oiCd
fb6wnKltoVcpfQu/ZGMKbQcYZnjAWAxgZkgqDzmC7c7HyLZ+Q2cFI+UHFCPMhC06j7cFPUcmBS/f
1vOMlYwRRZUAbVYEC2Ds8G/P74rdjkc62jtMZcFefKtjD20dvOJPYM4CzWgCbQAd/LVM+aRP/tsK
dmzoZkQAPwxcUpE/UsQlAgVcM/WkG2UDKt+ENmMriAY18JaehsnIyHBaJoFtO+pLExgInM8bLIKh
S5ePyEUxgN0BpxRoFbjU5jFi6+5oZiJwe2hI12rU6lezzGAZt4aVfFVJpAYARg1EYT702H51YDD6
P5vWoDYxeKrn+2m159XdeQOCCMwRYqbvBzovhMZ/99zPstScdaQfNnvpYpUiVhJz1fnvM1d+mlcW
6VP29bRHQJATfV++6mV0c2jyOERelLFRK8Td6eKyjKwxc6S7hKBSoYn6fabIv0ZWgTkjs95EKk4n
k4GNTKaAXxfCJEdWxixuexxw3mKbR0Nj8425hWTlJwjtOb2Cl2/0QhmB8oEAjChsTElt8sXwIgxX
waTFGM8Qxs6jxrIr2/EbvLWG5bFUq8ETOc4Yx+uuTGto9Cu65c0/HtT30TCkQ9ZUVETYn9LvD5jh
JEXfB8XPTqQG377ZQ8cvCjgDIpeZDGVIdGfhgwvKoqdXUdKsrkO/3/a2BlXwSK/aYOpRIjCZVtsK
03pipuvIO3icEBgRCLDCMMGOdFW/OoQmomrvc/426Svx7SLyc2LySOzAd0LKhj95mj3Ggfg4wJmh
Qzt7X/KltIr93MNeknuYW+alKmhj6ue4FrTgXzl3LlIdc/U44LyOeSUclJfnDnyWiTHBkmG2CUkv
gv910ghTxTiZQurUv3l5JVwGKPiDhAcPAIOpHEgPnwcomjjoF6wVs+86M/01DIdMctoWvVmkTwBy
R1Povnxd1xyhvwcoB5EecjkUOjzjsHDJ1USzRaUcv8w/MlfIuwYgL/C88/jLq8ix3gH8JJ5Y20a0
UcJeWDtW7Y58IWVh5HA1MLImBIGeMeDCIQtqf593Aql4ml95CyxkaHQeNgnOZICXDnohKT+cy1H0
JLb0bQjKXdMxWyUooGjVmf0e8HaTL/sFXA4NUrC8U/+hrWwUxnaq4M3bbxzdZ4MH5cOKxPh2sWdC
ybGd1tKpb19+SCZcPH9GJ60sm1I/NBHl4uX0fu2SimHLGK84kryvLbKVr2cQzMsXulz1BC5qx5ip
KaLoCKdd5DtpP3urnZLOnJn2mwOk6D3Qe177OVnMLdfELmoZgvvL177MKBz+R/uSMpHBeOiFlye3
Wty1D1GmY45amQ3vzmYkwBCIt38+WahFoOALLEHVr/S0Hs5DtdS3+R63GcwU6eW7+uPR029EEiwg
ATOE7ctILlUzoUkAqBQhliwFmeHkDJoOAQQr8IwvX+uydkcNNyLrNS52JjcGRfp8E05TV3a+KCb8
Zk1gRWu0bx+7cYTH08ykoA/BaSrsuEieP2RhYIJ0E2+cuRP9FvlaL/AyJhANHBrYEQwE0pc/olAb
ZcDShIsqT8jU4k3ELl4+9mVkUocqsg1C3IUy7JBcFLK2u3sXlBAHBoI3LJjVdqHuJiFKKtAACLO4
AHcdg7nyCvSegT4sTuaDMaxOH+3fPkqawxG9OhLB0HfR+X3+KLtiKCaxrA0kCtbbFbPopdBI2xkw
Ei4nfXWwt8p8gjSjWL4araj3/2H81El3H2ujuPuvb4i8lEPW9BKMI8nF1gKkCg9LIw0xWDFxTgrw
xzf9oA3EYguCjRMUfbneoplekXAPzD8zFMB3lBc4lO0kUiY89pdv6nn/MITAR4JCZ4xeL9ptTC6e
P6SqsBe0B3FSXmm0snVyA4T5oTzqYGY2KKyYSLxq1leWS3YePFODgX35Jv5YZaaJSSXIpjcHz2UK
Am0jalB9lMkZPhcGA1eSmjZs/x/kpjKU0A8vX/YUTn4PqrSiIpozEAS4PovgIiUf21CHi/AQ6dFI
Aw2QBjINb80GHJx9cXOk4G5BdDOld0/AC2yjDcDULUuWS1P44F9yFKRBH6GGyUc8RIFlQ/r2FsN3
6mZ7U78w2AAPAZPY4EEU2ort4xNVrghYh+fVqEqAPfXORoCGL0MJVS+E5gVvXj+cd/rLH/z5vIGX
bmQXie72SVqe/O/5S0dHyS/KWHRJnRuxFWp9c94/odCsGm7pr3ghIBa7oK2nET58RpMPmuaJAnm6
l3+lnP7/pR46Yd2oq2O42jwTOA85Mf/viuhvmNf9tf7xA2c9dFf8Fx1yKgMzs6Bp7hGSznroqKET
+U1McIxAWWRypN/l0BE0o5FDQKOQ4IfGVhk5dD/8LyqLGFFZwH3kbXRW/4Uc+vOTn7kPHQ6BnAQF
I2KBhMTnqwIu5tguU7vt0TmzfwaW6N4GEJ4oSZyOWdMkJ3nf63h5Jc02Yfi/N6G5LOcc7g0Eawol
QvXzy25uyDE6bMHeq63mE4dfcJU7zfiK6MrJy+ryMsguhvQEMHfzPLMnfhvlxY2yEAjKoNimUn0R
UNU/wEgZHtFopccXU4l8dKcFqklvT9EE9m/yPtRTN2IC3qOfjk6DPRVXssc2DsJvECPOtLSAKQbl
ZD/t0xOi3F0R1aD1Dnm8gM0N5qBIJUQTKR4KdAkgL69Di5HcCEHjGC5z/rEasFiHaDGhdyacWWRw
N1D62vlaeVWCpnZRo96VifSNLkf1N4postg7S0vvyy9a8VeZb+VHXOIdD0mXssrulrFZPuRDPveH
Hhb/5ykqUJkAEtiwf4N2jKndF+gpAIXlfJsuYfXBRbfRKFGauQiCizGC+gaAfbVFaG5dA8200U7I
K3E7jAxfk37VY32Qc+VuiSjwn197wFIH0S3DG1By+Xgoa781QQOwavK/mpphFFMyEM51771tqiJw
4Jky7qk23Vdor+U8KdS0ANvZblHo/W/77+35Ff8ujP38cDmtryhi+MPMxye19S6C/GyvrSsKy92D
d3YPKoWcGfgDgymvqZLCLl6T9/kfpv+0XEmgfY5TtuvlPoKZkFZhpZx9vXWG1Fi2QL5hzs35wUdQ
83HMaF0z//es9/E8gQ5B96vIYXylQZ4oF+Q0hTE89T1yY+VX31f5D7RQwpJzSS3LdUi+9k+1RlNx
hMBWHwcr6kChd7PzfjZi+byqLNw11QiHcNPLcJPNckiTRaSwIREubN3dWFt9fETDML+p8Z2mzRBC
V9+5MVBwKIOt9Xmcx04DMsKUY9/303Bbyb5sEj9cFfiEOiu+b00LIP5fv6qYPg06XqbdxezlYo+u
oo3Q7xN74APbARWm7KqgKXF0qICviy4Wr7SGHOMQcxEUaBYajVg0j0lyL4KCqEKFZJyRMUnd8Ids
0VnJ0Y1JrLhb3oxDETAkyEp4xqrIPraem4ExrAHGMwfpPmcQkfdh5Q+fNn9YNBJ/ARwweMRLfVWL
uv/qpnjUJ6ht2scl4qdiD+unl5/YyU7n+ScwXXQySmrnkJnzxSPLGtTnmy119xLDh3I/0rS/w5iw
ljulgboztVjTt3Uh5wDInr01CDhsTXRgzsY+ld4IWLoh+YBGioKCjzX3BKqsbVXmQRvLIZY0/ajG
nQ8n6y7IvAguOtKWlKEuxGtYIzZ0iWhUTbKWJA6v9Kae90DM1mXcg9NTGKJbxaTqwuAnGL1GAK7z
UelwnAcoXM0Bvdnmeqsa+5UHeVF4mWuRTtL4wJfM2JLY5pj67Xwg4Q4HpTdrDzXFUvscSQKAkFXY
lmhWjT07E8++vxEj677D4ivuIiohNMVQ7RKvHIh/nsPItnMGk6JxJNJDfH4n7bxF/eBaGYp2oj9k
owOYsQfhIvvIkSD7kfI6cfVeXkmnA/D5SjKyZIhoUOsxW7v0AJrAOiITPOUHDzZ9zQgTXbZjOXXd
G+jbA+C+EhD9HhnzKGlDFBjQ5czjASqd793X0M9AtaOkUCGjNm7MJ+C5rDszgEZwiSLv0Z2akhki
pAmxUxaC5vceabmpplMP1cXKzb7ArSfK5bZT3rlFVtMtTCvJ1RR0ZAiUc3+skbUGAtO6xRc/Jwzt
QMKX2yG018DeO2GhCKYxDhQ7TZX9mYl00954lgUxoN5CGwk75rfXQqYe/II6626yTBTZTpalfJSd
P8Hhout3NcaNR0GrYu3toAdguf3yo/7jRBLMSshjeMFUH+KylzPB7EdJKK8PjpzjX8XUl9f9Joo7
+vIpqGoQ7P8v1/Opb8gQaWOQW/6+tDXHAk15PK6ZM2fHcIhWCDCASJPZn7xDvtb+axbUf2xcZnro
uweUGVEYImr+/IrUi1kgsrY+uJ6WbNdcXK1AO+4sr1o+vvzhLnpGbFxzrQDrSdoz4O0u80cp6rGt
yEMOggL/XqNreIUy7YrYC3yfL10822pfWL6+L/Fw/YDIYASfH0qKBXpKOf+8cjcmTDzbRdwN5hKc
+tTViChcbF7IUWnnDF0NP1YKRiOxs75hWFjsBn+u7rvMapMWFtffsFYmuOfD+AmwfnQAQ1XsYRJk
92Cd+6smRSj8lTt7Xumfn5Pp4rDkEAT0T2nLbwHOEn669JVf4Z9ZpNXVWLXiXSQM0LBYJx9MV4VY
KMQzzodk6Yt0SzpRy++bNRQpXNB4CxIIpwIREd8Ky6Sf5+KtncPxvg79NpM7DFjq6Q7dTkS0X771
/2E18XoN4AubRlM/PV9NqYat4C5FvK+sNbjuwqK/Yw/b721kP//1MUAnJODheIIIYTqhz68VQHlz
UC4AYeeM4yeL4cs1WqISlcZCvIHWm33Pgy246SRcOYgk0Y+iab1/5ZN2elOmPmQR/W/Kzqy3TiWL
wr8IiXl4Bc7gOXacxMkLSmKHeS4oil/fH1E/xMeWj+693eqWbnc4QFHD3mt9i9fFHvLk61k9e5lT
oiDighU33y94+R/x4xUHxx0DiBhgSs5C4rc/82TcctPkAm5Zh+STnMwRaMB7pOh1EgNF65yDGGu9
iCvd7lGv+nn9pbFqcZcmVTVBxQYMCpWk30ByvLWoBXxrhrANPBfaSN9amLxVv1eTibK9s3LvS7FO
KweHTi++zA3K9f3HA+Sk2fb3iWFEYtWmaL0pCk52QW0u1DbjeDEmMFj2+drWNYyPYcIXl7h400CY
ebgqGw8GoS3yBLk5tUmDA1rt/qbvodV7VEfWgMZAmvOZn/c3Zfjk4bI5Y3raJJVE+W0D/J9Pz+5S
lQ/d7G1ipzW5lMOgNr95gt0/kbmJid7wP6FIcbp41qV2JSffrtiLWeVwWAq/MMMMBRmd4ywYrxeE
roCB5r4eYmf0iyrWgJnKKBdDd1uR44XLhUzTF2ifUDk6Ddp1LMzVqSNsWca804OxqsIR3Mn0xUqH
ZYmnCfqeq2ddFrGkj/N3iVQsu8kRxBOo6BTl7dbXe5xGYf62a7/6E3Q6Waw9+/iJrYhJW3iiaGru
Kx2aeIiYCRBDlTr+nTKC9TOCpuWlwag03jgpavQYhKxgvMyYxsI6zXs4JIPVMN9Y+fAJlUXyfS28
+WEsYEVHDbDII9EzHF/XJK2/553mPpfWMr4YTpPoOyhMo4cxcKp+ZnD0MNnguCDLKrVEHiYkQDCY
ha/c0NIAXB68JFue0ry0H1x7mv4bC/TvOHRZ9+jSbCUe5zR4OU0tx6ZaomEA08ebPLFgPIG8R3A/
NhfKlf+xXfD/C25xm5v7nJnxZOALoiibHDlfPCfO8HmQyo6nLhdQbgNzjwR1ZhuvPAtvkzf+doQ3
7TOjd84sLe/MHSjjoKzStzA4a5+seexm7EJzBy2mjGATJAycb2hm5wKDUB4bKnheVJ49GKNDYjIR
VGem7DfbZcoP20LLRmBr8BsnHxeV4zooTR/IooS3Uhg+wW4ATX8DFjrYRqouLBgAZ2Zovoy38yX6
fhThFn9v5dTXn7QzaFrArKHFWQplLDJtWvhthDcyw2eOBX0MOVpNfujiwpyPUM/cOsSCNjzSRKo9
AnIBnx8U5oOr0if8LETmY7pAqH1sMSja7UeSKcoiFuui/2qRZenI79Q4Hp0VSgiYPtKYQrJg9Cwa
QG9gi9cyF2YEXCrQV0H+gDcP67xZoIeGQUu0QhhUdMhCp157AAhmuQIKzIzx0YBIWYZNtfh3MtXG
L23v2y+iFPW9qIbi01jmCSwNvwhMcMoLpMluaJP7qp277ODRkX12mD1xHziyvLUnLSOmAzMh+YJL
ZsUTIO4plIKAuEgmhdmFy7RWNwb47XyP2BPRFvs634ztVQPB4gXrGmDsyeSPwXMw4uI+0X8k0i+Q
gZqloGgDremX3icT+Fc1+A9KNaQLLjjpeIRuNz2so1H20WK1/QNgV4Hfpx/zH51rt1iuig6k6GS5
+Y23gDHEEFcCAvW63LnDnN0XkavrK3mkC6IJcptgzoW1mhYPhZ8GsQIbsFHCiUlsDdyjVV374EGm
qCRx4CknNuC5p01dRhsP+bbEqv7kzJJ4Dix+4kWfF5w0k7t0R7xgzh9UblkTBbZdf1KZcL90eLo/
YYfvP4+aJ7/SjanJE8BAuQlbywaOMZAkn36ZRopGTcTuN2WY5QZI1YIyGh2hpeD5VEu5Mm+Hb5Dp
iCWk/+U6kQg24AN+Of+xaFw64mvRaTcwdPsqNFZ2XXHetuSCELhdXro0NfVjga34rvRIsAptIE8X
tt/iZnPQS8IHlzKdfn68gG8zxOsF0qAT5bED2c7gCB9ef01+TmXLCBovVnOR7VgZ0SBNrbp1MpvS
ViDl7uPrvf16DZAB2CM5h1EUtE6uV2etnY9azYJcdy5zhrV+QoFi3Y+GMZyZHN/eGvJBNiWUZ9jJ
URZ8fWv1TEg1KchMT+Xgg3uvylvk4AaUg7k/UJ8LztTQ3t4a7QXKj9A8NgHS6V7DmK3Ja50xiNsu
IHIJBsplAx2NnY6r7T9+im9rJn9bGewZ6dsjLz3VqJh5qpWtUwTQdYaEz7AKnJtm8bULKLTGjmAe
+8tqp2N5aCTIN3a1470sp/6c0P6dFcC3toeLUQdRs3+yCNKcc1a7mIPYNxcVHMfBkOvOLDWsYlMm
5mRniKmxdnWv0vnM037v0rSXCZpiEFn8hNdv1x8qAzjRkMTY+utLCWtqD8W3ulj6ublccaYcM20p
z5yH3jnJYfegfkB9DHfS6XlIG0aJeLFiSC2mJQ8ZPQQWvrVYijDoHRaDoBvcu3qegsgIRH5m7Xtn
QDOeuVd+AD/i78r4z2bWbF1jaIFExinAtd9I+CUHRaJU/LZwZTR1Y/f9zDDz39lg0JnSqSTgu8GG
dfINmTqm0xKOCeRKt8z3Blyen2kJlTuEUj2o4xyoxY+J1EgJTl/8xNgbQFdc6KVWBv7Xbinc4TLw
ImVO7c+VI9eIWFjXgr2vbxN4o+WsgSWCrxqCrWnlEUae7JOHtQd6IYANYkrr7gbTFfVBVK/pU85u
H7qcnW4IBomyf4+r233SPXNdoJUsrHRSL0aLuSVwb0BHV7A/17b8Bp5PTjEzYGBFWkZ6TCg72/Fx
4dbpFRQ1R+zwdFBmJaFMXBo9MuwQtlXFzCwLHXuP0S7QhCR1upxyz+9mVEkB1sqUP2Tj+vTP0OhF
ktsX3FDGeoefqf3pefMy7tFpGHWsjRUhTTm4l4DoqRJwYd/5YxuTyyK/rJnq75osq7Zf4CdFZINe
m7BymdpjFZRdCqhsKfpoi7alkTBl2k9WEBKNumwDeYxglmy0QeUqwk4HBUUTIxMvkOqdh8HCrMFG
Nm9DQiPS9HOOxxU8OMCHP77KwbtVYzUpQBuW/Izds9R2y9Ip4PIjmoSwzsqJuCBBAgy25zrXomKU
Q3rdSV2/r0kAmmItmcajpEZIqYJSIcdBxKXVYZ298SXIjT4PyXvRvzW0TChf2kqAX2d3cZn08B9C
HERdCekwMenZ9VbXf1uqXv5m5ikA+BEsRtxZtnQXVseehYOVGugBstMYQnNp7WdmnYmxZDeLPOik
21R3lsrmbkcP0U3jBGGPHdY5APJr+j+rcWGkxQjFMEkTc1+bLWJHO2hLjKkipdpK+9F3IpAj3LOT
9vMPWVd1cxi9vNzQ/pP3BLjJrcIq1wLWfLbgEM2J1nIiQ2/s+9kCLnl0pbZgmR+SJfYhu/zWYTT/
TgO+JvjLWvCHzZnjXfql1baH3J+8/Fgp3ekvc8o8Gr1/v/0D6GgZKUQQW+KYZjZHzrDt9IeGGNmw
WW31fTbH5apz9Ca/yXLLnGCX28U34Tf2b2NNuiAqegieUe4Secb8RLIHETy9A7EdrvEaexq++dDq
nDXdLWrWdr0zKCu2gUVwXyMAx4h2Z7tGPWZ6IsbSRI6EM2WgHYKyaR75JVUbm3lGbKMBoNC6MHRh
51cDOYnmvqNi898PHJuPjJYER3rkI8HJbIT+jmwoX3PjfGgoj/TCUHD56bNC0tAVkOC0zUD1jueW
2/dmQfR4HLAwk+FHPSlNpahkF19tpSl2UHTrMkhU3mwvh1ZgG9IcmgVe7y73ej074EFbCvUfT8Tv
bC0Ci+7c3xInO4yTH+AJHToOlpt4075cOqAsb9JkBYcaZGeCON8uqxzqPKRw2yaGZuD2z/9ZY0Qn
xtRbbD8O6mw7eMwQVoxcps+asw4Hp3Os/awgq/zX+2MXahCkQQPI8LCnvL5q24+trU+eF0s/WS9Y
GhSlg6W9X329PPMo3y7hXIpakIPqGfXGadtOLValg3HxYpOIvJvSJXCMFKaB61nlnUdIHC8QONcT
fqUzq+nblwhzC0EfakY6rO7fcvo/jxbGAKmug86jdaVxq7cj54HM9r/CUE7PnMz/KuxOtvUcjjER
mzTvNlXJ6wcKByDVJ1sEsSYIt/reqVyPp1mk2EOySrx4JIPkxEGRYRENnJNjthWJ3PG7RQYwu9Mg
yHfpDCgts+3xogT2fObc8c7DoOZpOphYMPMytl//QAixzCO+l8SwreQNaJz12GAQi+2gb8688XeG
tG2ZuFJQ2bBfPB3SWUHY37zaSewNuQyBdZYxgUSA2Hup3TbCnHf8A2LePh7Sb+cMw6aOTYfE5ghC
T/31DSKHrlal2UFs0e9KD9BqqGdjxSSQxdTsJUp9rb2g3Wswy5oCe9ug592ZO3/vIXP8occEUwbj
y/bP/xlxNAtqIgv0JNaLvv7TUEz5riuF7qGmUXj/8f2+85RphFsm+eec7/iQX19roOxnk2rqx1mr
SObIFhSMYcZkXewNe6m460z/6oikP7Mpfue6lJeZq1wElfyXrS30zz1CIkYxqUwfy20Bz9zViz8t
R5+GKlDKO0633GaRk3f/8e2+82iRtXCG3drjCMNPzrGLu4FI6J+yaCLiPXiKYcteqyENjU3ZGbXE
O3MWd0ixjS2rhR3t5GLgcjUg32WxA0I/7fxG99GeILHckeBRPSsl7Au81R5xUsGg5bv/fqdk6hg6
UzMP+bQp7pUwBxFgZLtU+ennZh6nC6r7+o1WjcGZS73zLjmms84RYsdp47Q9W/o+zH4LtY6xqta4
tkBM7ZLK5xyJD0M1O7yn3s4G9/WfvxO09+i+QYfwn6wNr8dQ72BFc3A+7IzR8jBB9+03HZ77hZHM
zvHjp7kNx9cT8+tLnbxKS/aiIHqVjnDK2T6q6kKjvIP46sxn8fasiO0dZw/Pk6o4ndHXt0SZcjLh
Y5a7osmaa9yN411Dx+taa8h78BCZ7T++L+PtuzMNF3GfDp/BcrCVvL7gxEmrIMeu2gVzPyNkKeog
hwnOQtORz2N3t4CJ5ece+TfEUUSW9yVVw2801wb04eYWaAM6FaIUNSNitK2iwRonkzbuVFVcOEZC
+/bjX3ziztuq1sgtWB85yjsIE08F/xx5Cg77AP8ysjYa5KVpRQZil4m7njobzdlkmqHzEUkvoJm3
2Z8JgJkXawN8R1IGqqY8pGbmPekIeEQsSGal7AuS4ceAmVg7QGVLPs+1lf3QzbG/X9AKAWwtNzYR
IqH5Sw3v0otrEvzwMdtODcIOJr4ZdqagkPDxvb6drSgRIfbkjjFDIpB7/XIMr7Y4C2X5zl7MHFZ4
7d8ufvkzSWzz8eMrvbPzQMjDokNPkAUe6frrSxUY9GtogOnOomC8l/Vo7Etr9j8Jv7BuqWWvn1q9
lw8TR6ZbkPnQ9508GTnfdSR8lkazy4qmRvMK9Vs7syt6Z4hi8DAR9CLbokxw8hTWbq4CvM28cBAB
hyGr131AREmIvWdFG87OM3fW7MwwO/H8/x1muGI3icSm9kcM+fqB+ORQFEsH2smYlU0aVFWaN7le
rX3cNXIhtLIxejvCfWlYpCwo03t0MCI+m6RfBjfJDJ8jGgJJCQUsgF2FyNm8J9+w8vpAMEMaHD5+
f2+3LRyumDq2IubmwDNPfq1HoMPUUuMYPaobNvGTyOL7pUpj0ily/9Kxihla+GSNO7sJilvOhsHL
xz/hnSmSn0BdES02//o7wv5Z0VniofIbKZrNNav3Q6PNL47lr98+vso7EyT+clSpIEk2b9HJfAXh
DU3BmmS7NoUyvwWdaLu1VHnseZMA8Z1y2v/4im8/jU3i5kMmYfFACXLqh60VGa49sT47KBZtysm5
qx6d1etvUEgne42I1i2YM4CT2g0XAQU34iJSR6dlXHrDZ8Ic9Wuxkk+aG/SxPv5tb147TivKmUgk
aWaSvnry1fbFRNrp4Do7fx0pHU3s/Z9WgkzTnT5avXFol97PIjYa6Z9Fs2USm7WLfuXjH/Hm++RH
IBXeLF98nhx2X489Ys40QOyzv2uXRiKDq9cL5NSIdQRhljURT5dpMRe7jy9qvXPrZHGweCFjoKx6
qs4RJszHNi+S3TQSihCOtr32e/atzRqamKjaHfy0woIFmFgPZplkL6gtx98kU8hfkpBkqm3giP4o
KN5M75aGRTv3wWKHq6qSn2ardzrattXtQ+j/8o8nkcgz30M13qdFMt/L2R7u2cTmSMXJ3IE9VaNs
jlzm6IOPf7kOq8VafjkuueK7UaTGp2rWKy+C+Zyu8K4Lz4zsVIHwJ1iyiYhYSbJP7JRn57IiL9k9
s3955x0RtIkmiK9w25KeviNbm/vOGoZd7hVd3ADgvhPETO1h8VxxfiMikDnp3MB4MyNsFmWXgyL/
NrbV5WRgjItD2kwHl9HIxmNL1RjH6uKhK/l4LLxtq2w7Jpy/nBX5mzXs9YUm6XZdZ6zcnW8ZNxOL
aqQtTnqwi8He9T5QpSIY1THYsixSZ1oi6nrG149/xHtPmA0w9X2+ACbBk5tFImb1vmcPu8HQcwo+
udoxH0gigUZrV7p2f0RSnNVnbv3NEYMvT6c1R82AqZ/+wes7N9AJIdpcxh0cBOuiWTGj1LqWX7hZ
Uu0y7AsHNYw/STTVz9hr397upitDsEEXMtgY7q8vnGm92UylMe6QfwffTbpJUTmp3gpJqSK0jvjG
IhoIuznH0Hgz/3PD24BiQuYvcDyvrwtVpfachJjU2hhKMgaC4EBsnX4xi9q4knUx/fr4tb5VS24X
ZP/B48Xczg7k5IK2loh6zUeSj2CkxQPR43FSF0m/iSb8P16KC8MthtqLSOrpx6jyhLrt5UJ3PjcH
fTrzwt/acrbfg8uewqaLyuKUsNdqXrawpow7jZymJicpc7B6gDn1lGK006ADZADU3FDgIgl2Mis2
PXZT2yZObkLpIlg145U+tHN16fcQzXd4VEaY3awOoLRntyKJoCEm6TBUkm62qa3Zy1qhJ7pE7F3c
SXaKPzQbqT9bbFOj9gTmNRxSqrlxv+hsh8s2t9frcVqL79qEEiMEHjLPsZ8gDyxNqbwQPAs/CvCp
e5dNVfLIsLGeLKzngozRPvuqA2MkkXZcZ4P2gNE6Eebyniw5JIaHLu2zJxwXzu0qa6Vig/bVMVhB
hiPRRa+5w5JhJbHTV+3ynAzUCHcSKe/BpDdBXhW6Ybp+RdkH+eMQYIT3qpzw+SaXWXskS1v1F+yO
072Rj0t9YXE8+NJIg/o/JqDVOuIqQBw0W6KHRDtP3pGGLjz+xKnVHxUMAyTIPkc+9/Eg3MbYq9Mn
7xzHKRGoW20Qzc7rMdildJNk3kFxJsrpiGjJi0Dpr0eHav2ZdZXawNuLUeGjUM/xk4aYfrrD6lp4
VSmBNSVnRvE0a3bzvfIbw6C5sGnlNKl5vziiJniDlnz5zu7IMj83o1aRi9hV+u/CGZcZvWPV6hE5
QsMfwxQQGH0C4dTVlKTiS0lBlQDTTZt4WWn6Yl7LpqkRkw9F1+IC8ubHQAytAZBKuXZckJTAQinK
5nNR6VYWdVuQUbgsHEvjGUXel4Dchc1wZyv/09Ahed8tmPWBbSD4GeJehwUbTh7unXkaOyhEOgas
KGiBL4c09xBA2XJynGtnyIb+yIE3uFuasn+u8mZdUONPAIwq5I73xF3oXgwTPE0jKWzkh04A/aBl
JtB3oOnba/qcKeq+Phj7SwBatYgscDBttDDuHPCidfuj1AQqs0m48GX9OpvcyJGudwS6ks77cqET
zZzjEN6ACnwm/6bL7Gig3ypjVSEKid2ac+E+mWoWt3XtPYrDZDgdc9Jqye2shfGce1lfP4GUtiDO
CJ2yMOVkHZi9OyHqWZyiwz5NMygstUx7ZjtDarKj0vSG2ET/mxRUqvgzjdy+BSHfWpGNCmcKNdtR
yb0C9WOgUCo9I0LjIL6jvyebbEyt/GUk78f/TLKbWA6ZKkYXKY9MBDHEpExzyUFzLjtL4vitUn4R
8RBjUoZTKmT1yNAeyzviEuR9lXpGtVMJ9oZYFMFKk3Dp7P1YEFoSKwPcyU1gpOVXcrxy+4BUgdA+
l5yO2IMQaEfsAUcZ6Yk9b3HMVOdC0uWomweg5tZQ6TB6DmNSzxmMd5WwdeQv5zAEtKIOARkSeOuM
eirjOreHP/QcC3+PDbOH71E5zs+8XAJMxghlQqSR1nqbJt76MPa6/jQg4hgje06LHN1RkD85Wluk
MRSn8bE0FsxFRjnxo8aEXlOE503dIm9Jf7m4J1KCepKaAsw4p8+pNxcAhGbkV2GLlYrsO9cQ7T2Z
E0N1b03uasL+ndFSC1APcVFJ9TQRyv348bTzzkywGVywtyCLYY9tvp52rH5gJTDHaUeFUT7IIMku
VNI8+xju7qkhnNMYvbOX2Up5W5OQVg+L7evLpU7fqCqzpl0DJRWKtudyllsgl1N/KKcdopp+j9+z
umhQrN19fKun1w62OjRWGtqTkMOwvL6+9mbq74MJaYOLx/Q+7+Syw2/UAR336FmvAxEfdGPjsWXq
/fjKb6TY26W9rdi/IR9hTp3edjOA32KTQTKcb/yczDZ7gQPkqhASvb3vhWO5l6Bb82fimdavkkZf
AIKyC26TYnDUjhnXtcNmTIaHj3/Y6Q7v7+9CMrNVBYHbuidv3/NpQhBJP0XY69Fe9B0qERy4eUxe
DXrVsXN2ABeTc5v5bcf671rHZQN7w0FDIMXefCpd8ZISInXG43CJRv/WQNJmttHszor/8+1BzjHo
Y/3F95wWrSmL9AODgessenGogEzyefoLSXKyV/4XYm3hF2vaNP/6+LrvjLStpkRamYVXjQPs65FW
BqTRzYLrAkuCuz4OAl1nCzsxIygnWI2Aece3wxIh9pkTytsni/Nx2z7Qjt74eCdbZ3ZnHFfh7kVp
4U03lGbV5z4n4uHj+zudNDgL0O1nv+w4VKM4ILy+vykrFDfOPDgWKVKGcSb11Ml/rquYj9ki6jOX
eztK2ZIzWKjUcQDUT28K6W4wgXYmn8vHxUmJfBr3pSlSohydhEhUaV4OWtGd6eycbsi2m+Rci/x/
o9PBqHt9k3U3L+7oIBJdx9LcE+65xG2NCorF4Vz56d1LMSPRn6PAxwnk9aWEPTtF7hcC60jg/Mra
JXleisq4g3Xhfvv41b37LDmq4wqDLsKJ/fWlcEVIHnUrIgfWmPelZpeT7dw0D5pdw/aDTSfxuQcK
Qc05bPi7N0m7lddIoZvJ8PWVlcZaA9eOjxGp8gHxcXkFfdM7WJ13ztb19vtDqECwAM5V7hEL6+tL
5UuHTtpsR3JeEv/QEcXFzoD854PF+f3FS/UWbZlyvBu7ydwzKo03hYpt3ABU2AYqx3amt5OLE9tF
ZivfXDqAKg9rXxcla/vUL9GQduu3HL4n+RVsmh8ddPp/gonWAqD6aTE+f/yu35kMaH/SrwNhAdX2
zbtOslIuiTlGZT3WdxNBtklkVI1vnfk+37sOmwigyi6GYff06JIaNBYQsDKm7Hq4Sk0Nm5OZj/uP
7+a9Seffq2y/4t/ac+UWc5dzFW+ZysgwcpK8xgTdbIsyZj8Fyfzy8QX/7n1eL1PUVai9wBfBeoZm
4PUVN0OvhghhRJhRm49VLu0sTirTQ5ngr9+JZNAv8QSQ07j40rowXSWuq8DKH+qkqS+9zBqr8ONf
9O4jQBmDGgfwFDPiyQ9aNOwBeM4ijtzjV1drq0uSI4zvvY9qGxWDLc682fe+WfZA1BP5bHF0nHxI
ziRqElcBbyWllh9lUgYx+2lglZQvLj6+t3cv5eBUcenK48Y8edir8Fbp+oqo504T+9VrqotM6SIu
DHmu0fve9MDZl5Yo5VJE2idzoFtrUyFS1I6T7lVe7PjF9CKyzcCv9RxzPFHP1zqnMVIUrOLwn28T
P+HfOQLRC6z816+Q7HZl4TcQ0Yzr9YZqmn6fSo8+gliaMx+MjXGaP+1kBNPRYCvA5pPK4al4C5JB
jW0eqLWHw3C4QnXtdxxc3WEKKwSOD0OGyHefkli3HgZjmh5XYS5BTLC5JtBaeZuuuBXis1a62k+l
luRzOyT4EKiNopYBidfLePR7gyhMI1fqoAwnnYGbejnWicnpnvHs290eQ4j47TbNshCEOcBbJk14
vFd6Z3hIIDv72Yes9WxAj2yPZE3SSushbXxaUgwgpMzY2ya9sKrf7OmNrwSmg01xq85/kqM3jwe1
tsUT5xuzjRClciANgqR8yG2LfetgJvkngCRjhpFG2PoNYTNBd0TIPBNnRbtkCKk8DM8zsUXVbeV6
2l65aCc5DbqITIPVS5J4qfLBPcgJHelolfTns2D182MSJETIF37jzbFuqoYmTKuAwEidkkKstUa+
7EezrY5AEqXAwKHB+qyRv6f3w5zSxOmt9Cc5s9OTm01OuzPbuhvDoJBtGdtki98APp9l5El3vl0r
YWgxUl4K21pgLsZVQoqLHTJJFL8bR2Taje9lxsOwEsKKrcVLPhtDx0ZzIgxpwdRUaXk46qAEHuZV
9sXOn1t8QJXTqG+KxAj63KaYyA7T++LruqyzxYlIt/fO2jooOEkNvmlWrWojYoD5TRNd/wU8/Zq/
YFBJ/WgxSig99lIu410nVunF5BA13T6VHRAtJg/zFuJkn1+Oq9Pc5p6XcKcZ1prU0WpnX/sM/4gF
yn4ijD77KVvdfioIEyuipOBMF5FFTWgoC6q1yw0OkceKQEDs2XbqUGiAJsM220mGG1oHSu7S1qNK
beXGQnJ1NjjpJeh2VR9EZ3X3aUO0+VyTC4GkcdycaRJD1t7Da1SRANt0UGdJwLTCrXxw2VPp7yLu
wtinAufNJQIxd2PVChuOiEVvnJBLD/yGM3skMYtpJEIt8Ud1qWWJ/0LUEv2BLlt5CcYqAnlRlQD6
Y5nq3k9YGb2zd5NRFiFBtaTGILZrgwdi4Ut1yAPsZxeNckAQA+FunYOVJPxhmraoS2nnjnYEw9be
+wgb7gBG0+6q9GG8LqhYPEhJlG1sT7X8AbEM6bcpbcs74Pupyog8Mde5NHzozhTYOGLuUGBP034d
fSAV5MONzieV+9xm5REIdQHlzBJX7LUbcqHxyD44WorqmAwr0e4rhdEinMkS+z25niqPdp+I321i
Nt8Wx1wJ+CBmSIWiW/J2r1Jl/MkKt7hW+oIGZSIbbiZZ0htscDupDaKHgsTnMcVZFiJWK3EMWjVx
eoxFciLdqbpPUsizB5oC0yXBGtI7VKvLSbJpzebPWAjIUMqdhYoIdUK4rk39eOGRAUrIIRvvZl9p
iVzDKavq6SjpwsWBAdh5V2Y+sdilgpqwfRTzb/JMLEx6elA+BGvq+vE81PIC+678Msxaq5NMXCbf
3YWhEpOyZw0XM+k0L5QB1Hdkb24foy+RrJQAvrVjwpvW484PNLwU/hQ8CJekrp0JBy+90Eh7Wuip
akhVzKYjkt3ypW5gl510jMODtPVjaUEx2lEJSnpANGj8IgktuKERRYwSBW99LXZYBlI/HvW2oVjf
ZAWVFHjjxW1GNJU8jPmkqKwhcpmPeVIsyVXQtHK4zHUzHcPM67UgSsUyzxetr1XBYRQEj1BITDEP
aYpwedizurb8yPJ0qR454drPhk+TAjd1NrQ3xFeYFSFaazus9yM/R5I7owb7ACxvqa/xbHjLQax1
6l/x8A3z6KqeKl8U9FUh7hQ5BflVgt8xoZcHd//ZtWa3fiI6r2FOVKonRS+cXb/0xAFQVeD9cvN0
9H+lhhLIZkQyD8rfJanped9M6EMOLQlnpWzb21ixXhTbxS728R8O2kHPksXQQgqdtLXItzRJTNpr
nV92KmxSKu+UtHWy0A+r543Zz1S19PmFtfrrs2bMcw8mfHK7/pikjpl6V4kPz6UA+hUI/VEsk7F8
xW6bgJwyWkPeQp7IxTPkq8z8piGQq640VhWy7Ds3Tf4MViuzad9hKiEwnvORKu5xI5ryZiGpzO45
FwTCJxq9Nqgzbo0grX3JQZs2eFjoXEyfm7LOoYYtsvequPRXOhpDjRmnxSOudwwffUpvC9l39hGr
19Je41BiDxZOtTNaj76pDVXszeQRQjWSkLgeth46GiGSLMj+ha8jEr/b9baZaZ95bjqgN5oK4x1c
VZFq4TrWI88NxXtqq4jjpdPO3/AEVeau0BtfddEycmImhBYjTXIUbimyW1GD1n4hriugyiQthv6t
3Uvl7A2+DRwOOjkmGpZfKjbFi8Vsmg7xTOiBuMg4QSPPSNz6djYXIY7DQh4bRhR77q78lqhMiqx1
kJpW5PbEcd8pkn8R6BjeqnCKNh09fgRwmY1XtrPhON7Yq+qCG8A83hbjN41JELqWAoQayqEO3Md6
zHkpUVptcbmhAPrbHZYyKJZjWU+2eWx9Z7QvypY++LWrt0Gx71wgwNDrts1sq1ngHtZ6mvQ01jLA
l89gxeb0tqP1Z4YACOo5wsmi7FCfJsIdRi3DIGVaSt2NfJhVvCYVG9Ouskhuc0zZlbHVenq9n5bW
gh4hk8UhSz4VkEB0u6zrEDOYoYPHa4byE8GxRJEnoJwzSEAZaAHHmKq7RA4FhimMyF8zMVjg9Ugw
RhYHxvuOcnBqbd5eIGfzbIpv+mqIebPUSDvW9FReJKY54bwevCWBw02zJ85L17pT1TI+WYsr12iy
NWMIOQsly2WD41LFU0XFLyzz3sx3bu1nSeTClq6gF5j874GDpb/I6yz0CDRN2hyVs1bXJDHXRWwt
XXslNEPPbhLQRWq3zkl2NzPv8eDG3vsCLd1nS7nSBvBZsFCuRwQEVjSxPP6/Ee1iNgdAOk0CzXEq
Ua8asK8TtTCVLRTCcdR/kFRVY0kWhDOGbBV9Qt/RuFl7EgTm4OALmgIhCMHOjz3RMjMPXZ/VUU8k
n4oSFEPisSMroD/AIVzlL7aOph1aqV0VLzAoaMTUNoL2QzJq87TcpjKzyv2arnLVQklbp3/yia3Q
vT2QmY1oVUEt2PV0uypEFZCbfhnzoH/vsCcYZojQQV3ocpC46LORnqXKi9zb6aQ6a6AwHBKa18I3
xVUzOsVRT5y8uZwH2BmhAR5muocTruvsvxEyxameNCshpJ0arpRYFAlCS28KNrYeeZvsxoUd52mN
7QLmHcVZF9iuCF1jlsjUHX8l9Zgs6DhoG8fAbTewL4Mg4g3pLZOxQUaqdLPyPheN8T+Ozmw5TiQL
w09EBPtyC0UtUmmXJdk3hGW32SETSDLh6eeruZuY7mipSpB5zr8OTxsZ41HeYAwbs8WKzVtPjlp3
Rl0ZXWrZVSITRS32k18Dsl0T/o4nv9sp5LQhyugnbNldXsZw87y8EjK+mxtr/y8SrvVi5G0uHeDx
Htugnz67OArnNJIUONEnjDw8kz4e1DT26l2RieF137w1y3fgaN4TV+4ivIp9ESof7T78F8YK4t0L
tezvvHaM/q0r2qNDyeFJDFEU8D/D1sO1xoBLegiZjvUBkrJ/0xwTrz612M5hDieeobGvBxIqk4EE
lVkR2nWI5OqiIiL/6NWIuhmxjYvxee+53S5z5XLTiqEhC4V7eKKbs6KcMF2msuTIioiKOtAWKs1D
gqnqoRVDMrNYWdTMc6TKMUOuMaCArfv5Vyz69oWzPN5TEsb6D9O2gHq8CdVbIQL+o4r4lyUzA2WK
6bJi2st1U1NSu5ZEwuXhsvHj5yRpz5br6CiFQNLy2LbJMBwmIqEFRZRUeM0EsDtZZQr7paob0pJU
5WguY3yT96Wh+OITeG5Gykr6TYZhVEx3vJPRyVLk/P8MSdSvzq1P0FjacMt8rGuzSkIggn0+JLBg
BJb5e/1rCeVCqGMyiJQoUDt+38O4R3yAAp3O5qVclrvOKPG9esnOLwyNF6WlV9EXuvicAn0zJuoo
owkxREjFyQVjcNK/jkVcXZ2VkzHfJpyHd7yaxXAB7Rj71Jd2aV212uV8in0ohGMrCVE/0bWFWCzY
ltXLlygR/dfsEivzRXQDoYhDJYfmQ/dWSLsZHclN2jaD7A/V4CUFfLZcfhMKYQ+YSKum9rNeKxFl
ZMf6Nvi1y4AbD8IlQQmuL76rJq9tCTWo7Omr8aAr0jKqiy+Xs5Vmb5xDP3xCQmFmd/0Z7778kFs0
PG692H9DbzXdJeboIPVn5UlGEhis/akYq+FHVC0FEGjNlwejXS2/LRV5FHtPYfGuQxl/kC+TrOdy
mZPvuFj2+YS7cPVfE+TiQU7tk/+HtFATHhJ04PGFY5wj9ZaiyGrfds41wD90rUKGKrpl3FjylAj7
lRLqTpw7MuC8x0pPC47UuOCbXiIKnR+Qgaj2rH3ROGivlZieUR3F05UWVnNqeoOcLaxX646/pPmD
BnAVJ98a9fDcM5h6V1/56l/Vd/6EBzIIYFIp7a4ZhsaZ9BGSxaKU3BNrw4rZTVHukFDrPBVubLUX
XCTxX9s2yXu3uftyAcyoSeFpusF+UHayXXTdkqJCiVC8ntaZ0D+QmqA79d6gy3M92vWztfba3IeD
u+jzHDvFsQKSWa6DbgLY+JuypdQY2u57vp1bSzXZN9SeOcOFXP2wuZSD5717pcQHungL+eIkInif
jr2P4riMALeptYAkZpMfdGAEs+e2/PQA7S8MK0vFSNDJl9IFQR2YRJ1Tg6nIzaXriFdXS2/IuDOt
ezkh9z/oyJsol5H8YDLN5PSf21sFU1ux0FeE+6wmrkAt/s/AmLa/kNg2gfyFk3fnYsqOMmQixns2
s8Lj4kZxcQr23kWDjGBrydek4OOtPQ8TGtWZw435z/xx/IpO6lGu5A/GZVz/R/37VuZkZJm7Wse4
cNPOKT2w4wqRyLUbC6zDvlqAinBeBFwoJKrSZ7qRSXtiyVtiPjh6JWRLNMwv90G9xuMj6WutOVsS
KiElTybiMAn7ZHroUB3cu3sT3GMlj+yUVFPlvFDlIvcjoJcbHNdwmj49QyJdJpuqro82SEF55zbD
sh/isOxGHuO6+Y9UJfKxFjlazonX2nVOKzNKfza+kcHFL/etvm/IAC5SglkKP+3IjCaAqLeqmBCA
NpFniTf1pDZidwl2KRxUKYlZg2NZ0EmV0Zrp7A9Tua1LPiSjqz4Wizkx3/l1cmZWrwDIKEC4Vmo8
qUlHN40uaaHrOXOkDXYy86PJhacE5o1c5CGiPrjEel6OCqQlrkpJYnU7FBZqiV4+1dZATmTrBd70
5FdbdG7trpkO4FbOM4d49xVuSYUW1vjDd2X5/V2s3LlMrR6JykVo5kRkDihaDqT2+a/NsrS/+G0b
m7w8h/7gBozi56SF997z9q2nzpWyy33ENJ90VNQy9Tw9PSw+l9M/vdj+D9HxhZBFwbaKvjnGAL2G
YD9AaNsvbCL+nPqrcatMN65dX62JL4tW9FFfxOjNY15UrvOimta2ztVEU/Y1gA0grrQfw/th6vf2
gIouEcckRigc9xaVuEPtNlMahlTlsfT9/2+768T6C0onCESMHTE/RX5rc+Qpv9Q5irq4O6jJmd/I
F5P/7SuTakZsbx9cvG5ef9g0u5tctOWe5DHXjcPpH69XI+aFJ5/35ISopLN+jEOrvnc30uOB+lNP
YsHThBOQ67s/LVLM3WWN3GhJuT+9j97BAX6Ie1UVZ2/zi5fdRYB9GG2LGVlbtjyMa1WNqWqK1kur
mQKHzFtMaVK1L9Ljz0pvEoWFe/QkogXskMeHlLFOtut02Ah9PesVH07qCg+E0gw2Siq/lZxZ5NkO
Hq6Pcfu9WoElMmqONKqZaESp0hE48LrptmizFcmffdYNow12kbl9IX3L84+gtdP7FFBiw/voLVNW
VRb8JlUB8V92G3MhJalfUrAEcepxXSZZsnSj+l4SF4fiONueuB+CcrIIpti8fwku0CKbu8q/Flh4
/sYAw/incF38UKqoL7tblF3OyBDUyAurtk9jIMR/Xgt4llcKJWQ2yVnLjIkMNj7lr9+qV9oazX5c
JmWth52T4uIzTHf5zhH4nhSjgbCrrPkj8QbzakKuno4ioDij3cZ5H4kx8O96I7oXs2lyF0OGAnW0
bA25ue1xPJ1gPOcn5IycWBytwxM+/EShHZyGSwwJ6KIXY4Z8CEy/nzRZzOwJO+GSuVs1y6c7yHG+
dLrrHmnVK4Y0KoNlPTlI2c6xIQLhrr8JSFhykJsBdnWEHMXcERPtmLr/uwGmb0DOU+9m6+IxzhOq
Z6q0D/elOODJNJ8xjYsdfSWR92yFNQHHu4ntB0nGOn3tbmJ+M5t2TWYvrG6HiBm/y4g7M18iKYJn
a5RNfyrbyP8xxT5g3RqGzZ4V0ZYAAxO6/BuD1u1P7e5BHlpm+HmjPVD10YqH0s1S+8vg96xwmJDV
Th9WUa3pvJfy2bGoW2M2ihQvguijY6z9Qj+uuC/QC837ku+NCudHFVtMTGUs2wfGGswhc12768FE
OLjTBOj8HfeIVB+tbHu+pp1yljebBewngvz4Fqvny+AR87W6+qOlScCPJb8bR55AxtZW0/6vG6HZ
ThRMicc1LsIdNsCN6yevDnngAJtF2rjNbZgutRxP5TDPOaNc6+eu1w/z0W1a521B3jzcB2VdnGdu
lLeRwp7r6I7bLRBFjUN+S4HfX6ykco8NkZHurfuOAEHHtoT7UCor+AYcDMSFPT542OUYlme9S7tO
aej0fgWrbL8LTixQbCnaK/VDBIkwcM0fnVcj8/VZQB9CPVq8+kUUr9mySR+xXx/XM3Jd6llTW/e8
n7yqiL0ii88C8GqiK47SyMd1aeRTM5RB+0TVMfjElqjuFnE5x2QdRp1vpW4V7+9iCpgs5LahIygo
dv9yUfAVGQGXO6lOjiAiBdSDl4dNCwyUmXMTaeSNe8z4AJFxCZpNoPAud7c5A1Kvb9zRlnNot2jc
8rDa1/pKFQP3jmFuk48glFtzXceE9QcttSsuPbYk7xA07vZEOUn/q5HRckRYUTmZF1vafqRgh6+N
Jj5CUlqxdPuD6b3+cw2YwD66Plx+d2sdBK+d583uwV4C5Vxj2Q93m/HrNddjUfJGFR5yxLkewr9d
m5TIDpUaq4dK2PphmWd4lHlK1Jdb4sEAgZy9l6HRO13K/SzvRQhci62wMo9j0azqDSVkHaPK7KiO
IkddwNwUZXNXGgJafiSkFarbnzVsDisy7Z9eJHvUrWzCVu6tQfsuzU2B7ta+SL69CTCuNAA0H1p3
8afZbr903Zd0vSZhYYqDGo0iz8Z4hTjL3kTmvovb4WXjAd3uPCGKH3HnTP77MPaRzCooaPMzFM10
N/n44o6or3sr6yfavVJ7RUmJ2FauC/MSH4UThQa6bJShlZwLYGLrjFjYsx4ITm3JEABK/B02Xmjo
Tg0ZS1YxuzvVr/ZEk9garFtuEUT5y1OUq6eOldCzWJhV1kepYdMOu+9NH0A6iXVe2m36dgbojEfh
9dPfkPyNp6XDH5BxuXOoLu5mt0ekmFpkxPjLF4j4BtFQWSWXrd5r9x1XI2SS47kbGcgrxWKfBhat
PYMom/VK7Nr81vWwZt8zYZjNLcdp5KAPe0J42AI29r9bqsm6mzC4dxPep3O51qV/rXcRCGDHpKov
m2+27p3owalOGWJkBcFDXm86s+AlBIquHrE7a7QBZoftow60P7wk9Iz8C7gaRNoi8OI07UtrOi/w
hOJcqIIPxL0/89UgIwvOyE+QBY9TUBOAhNqU5JcImMelYfAeyidgH6iH5MFHFEmUeJ3g3rATKf95
PhvHwRuIKcrDHZ1p5iVqfCk8Y55k000mE/hUC25QkdSHEIrqliKoHXUo6a8635RfKutEpOpnKNdW
YaHyiz82G/uc4X6zYHeXkALbOHSmxzpcgHgrp95/Q/9CERZGBUU6Ay+CbcMl35CkwNyP4Tp6Z3ow
m0/yNDk5+mYv/8z9WPQ5Ozf/sqafOE7J3nL3VCjQ82PTx8XfHZfyf34tGbY1gdfM6UPw4hMYIh+J
awZanzH85oyTVnWUtRyWl2DV4uww3+2gj3RypFXFxnQEew/Eic8SEa1i+u3NW/GMvkr2b3lajbY+
km4hlGdbZeKcapdZ7YLKm9G0xWn0HMO6NDmRsmN7ZE/fNEm1OysLaNJi597ucA7u8+xsX95mJGRi
MhD/qGJKsDMzicZke2TsV1WZ6Lcig7LBRXZ7PobS0t3B2MsAB75rpz2sSPO+7GknPpyU1+7P4BSh
zkdrXDwKWuzwtMaoqA/8J5u3UlrSeUuGdVhRK8/dfEwm6c0nd4k2EB7lQSOQoxiER+gyvwHmt1Hl
amRalK2MhRjuoJ/IXCymwEzHWNS32uNyLLcH7Mnx0+5tSHE4nOx/wxx1JN6D1Z06u1GHog1NmNOJ
5tygyJ7k7rHlNa8ScZsCJo11yHQeEJZQS3xtg1hYF084Y5MLEAHxwOpZKvTShkXe68P2AJtnxF3S
xtDPLqspXHXsrmO+cgkAIJcWwNzaL78n/C6wvvGwiLwaXJIuHOUK+mZWYX6uepq59wiaOSH7LHeO
196vz0ldNvOdD7/J9+DcHthOmJLsL0avS4D6ts68SIOPzWMxE1s1VqXKPK8Y/LQZ3XA8FhXeeVwx
5PLcJVxQKEm8nZfeGuiTzTupxKNsa/hItCVVnLKYiJ/MzwSdsah3YepEjGRY9sbxdajnIr5vdMQW
ZM2B0Yek3r2jCCaijfch0mROBVL0eVIWMQBKYMr7JKEv/mqtZX0dZ72j3F1cKDyfvjYI1FKq8cw1
Zf8Y3d7+L3C3lVrom0IVJIdM6Luwc1qeN6sw5A+w0Igcpf98LFaipH4aejMUBQuB/YjFsZ/Q0g4T
Cnh3csBXEfTjhB1xiOMuktalxhJE7qoOOtwPnl+90YTcOUdqXOCyGG/UPVS2rk6El0Hb7cR9EQE3
o8O5GES8JIhu/oJxYRq6CYZzW19LyCgMV32p+D+KFS7e2zd1t/VRUx+ZmXUIhj+wxLFn6UuykTua
QbO1kjy4fX9dWwI2D+XNgH/uqr52LpTIBB9kp+s7vS8bwfNw9SUjk9LdcRMD+aody0TIWu2IH8Qc
yI9h33Z8K/omUVjjsFsORT3fGqDg7eWdBUH9RpaJ9H+wDc7i2feMjP4Dd6dVOaZ9YUl7ACFz6Mif
A+NBi8jUW+rxu1XTLE5lMlPoRnplccFyVkbpvFFmcfEcM2N8QpTmHWDNi+0ffc38iytL0BtKDaLz
dm/evRTxj81qJJPkWMdVEHGe9pt77jrRvjWlrH+VCh45q+axRLDgJOueEdHV/AengQFD7nBxNce5
iefjtovFJbtXIoRgHke2CFcVmrRKluQex7EBVq/khkKqD9AUrbQCfrMpMArscdT9GeHN6G4mv9/J
nd5Z9/utbb18i129HvfKlYcA0bu4sGuoOe9Kuo0PBVDUnUsihjquFWd5hvxi44YLqF/htwoGO+tG
f6eRasPaBTbWOUE6Co422pKVPK9q5Lym4Gd4Rs0j/Rfb5e/0KxR7t58VZ3mczvZahW9NLNwot8oG
Ctt0LM2P8B6cdTDLgHDuTA1OKtqimygesnze1rCj9SfoHQ3y1nkfMEdc/f3SlNNHqDn2PzufqBCm
Vu587ndvy1SyzO/lMBVtbrQTVuTBNeJTahWph3qgwOMCygLr3///o+x23Pn8gZl1XsraQ2xgxN58
brRxy7TtzVQeElE28trUdeMdBho3LsYw8tyk1m2cubJwuGonK/rygTJ4shCH9JlpGSWODi4pJ434
h7+lJoUYVD2238PR1H/trWrKFNGJ/T3OUVjdF5OMegq65nA5OpsQ73ra+v9i0U17jjus0VehekVW
nRdLmWuv2tZsV7r27hxnLv/1FgXMZAtX45I2cW+/sgOhP1/AuwlptFmyVnKoAT4DZ+H+njnSs6Eo
hM47PZV/FNKo9wUlveYDUCF4iDHX0bPqExl+wJtS6l8imse31dIJIqUde8zR+JuLrqCqyYYe5wUN
P/jSZh9sZ0I/sEviPQ+Vv1f1de4i1+AEjBdo03IGvJdAk1fCBAaURbik/slo1e1xqYX8seCdxrhI
E8hbHwrHSbl7qIVgRS7d604N73yIqKTY7xbg4eJBTjMQ/ywNtYTCDy39S62D7WdrMyn7Afqd6Dl/
EHudu1bRPcXz4BqQqo5brMA5ub4QRBiGh2natLxrjMXIQBqu/xAWntpywrIWeqJNk9h4ZSZhE9gU
LOFBQtfkYyym/bBUSNxu+Ox2HeLZCY+0eDt+Vo9SbPlgNWEIz7d1H9aKPBCIQPGdtxoF4EtRRxRX
R0qE9wVzwlvh+Qi+vATZ6gpOg+GkkKE+JskUPTGGjD8hvLzpMZ7b5rzYrtFnYuG4zbeW4F7HH9ch
xzEmnmiwif6Fe8eUAOEaD0d4eP9pYvT9CVkwBin+GAQ2Qee6MpPYxOOUxhpdXQofhMkq3Vj/13rV
Tqk26hDYUS1Me2DKRPoy71Agop9vuU5yWO1jFaj6V2CXTQzhQU12laK7YQa1BdLvXEECEnVfbAuT
aAdZkw9BX6IAg85/le4IxLVob/5bbBxj982CPONQOJ2zHsRtk2SVbWjF2YqyflK4RKd30oqT4mp5
wn6/iUr3NPa3/RyCKtPBrKL5G6q29x6XrjD9AdVMEeQWk+t1H+FRM0db+xW7qfFT9BBJgIF3FOpq
jJneqiAI0ImPM0cQpSMcf/EaiMdxDzfi0eWyUXant/5X2KuAxFMic741Wd+PWxiYdzyIYctVGaB2
Ry7R/qiqYi0y3wZxRclkx89g/P7yUIVcPKmYqiRMlQrXv8SpA8lryyv3c+dW7cNG2RwqKbh8gA0M
w2Uay45Ukakg9adyYEAOW1j273olSuOIInqynxryeVreEzP9HTbTPNGpZvFIDpz2hHh27dEh4bOB
QASJ/dyGfpnTlbaHCD18sT2OetfTn2DczZMizyE+MdwXTr4Uy5qgYbSSX7toAxbCzo5BlVAVOX8i
D61g3q7eeLL9RatMEePD6KeTpMo4ivR833gUlsIeaKjmNay9J2EF6jfXrt6ylgfQ5C7Nf59ls7fo
j+YESGVIbFPeCdJzYTxlnzw6QoV+thUx1PLauZ17JtF++MHu3UNJm7p84hCQ0aFC4/sttqj56a0l
YPwNHPv0e1m9N8XoRVkJZsRnJp6Nh7Ft42NBfWBN6pJd/ujsanTOIcmmGvVQV2BuFSMHamlm+Qr1
kaQFGZ9wuuPsAT7NqFoZH+LqC1d1N+dtnIj3gkDc8IBiIHhGHIuQy+HzvfRzkAQcFSURFWqS/vyg
eqv8CcBKjZ5d12OR+sTtUOdUtvMdAb5my8xYa3XUM7UUoHotIwV16l2mKOqr87aHy88dSYjZbReJ
7NdWdaOLXM04FVXCVv+4J633pfBXuHdr7Og7ljaXO41bZT25/u7tLzQ4Dr8bWsStTJDXBP6TxGV4
rNUafeyY4JtHU+9uyQbbDT+DzYpUbkK+Es7YemcrqWdiNqItWgB+qq5R50Zh70VJ4ZUXsOhmOA5O
2NyHHspjOPGOK7XbNlD+fe/c35bxE+tUdtT05dAx7kMDyGzxlOpJHPYq9vg5m+t+EeXQ0Rvdwua5
LAG3dX+Sz6STuwTvBAFPZowI6+fS9sCiuvQGpONd9VpPEX5hqVTwpw8jFEc0ZAc/nH5w3sjsXS1U
cuHNJ5+suF1kxOhxtPol+BmtS/enrp31g0qnMMzCka+XOc3aQbAoNU8Jo93/rUhN1MkNJekaMwk/
1w7N4FeNik8eNTROhLrjRjtDyim8jBIvHQJvprZ68AlvQpxVMhYPorsnvEkP2UR0ww+/8JwNi3Nk
rNPe3yj/BGb7pUcbBXdSRN0HCh5/RI3g8EW5Nf242cAe8VwHS0nKR53o36vdcNpYyAGuhY3C8qg3
HdMpk5Tlz6JVNipaMlh7gpW7fkutBuad4TFB7VHWosnBSPuvHiEj0qzF6baD8UeBpHzeo+UMQEpY
YeBQds5kVL4UPNaIy2sLoGKehhhJi08UTGaU554rRcTvWTqBeQqhNJpsQewTpRL1YZNazjxNZzNw
2adlsEG62KR6Jc9RW1ivyKUQZZTzQg3PCkc3pCtb610xwpehr9I1oufFZt6tGBUhjizhn/Zp8bfD
MkXEDJdBiZwO/QMFpWRXJktaTYU4Av5PEIYJMZ3sEmu5/kq6UP5p/CL6Dz1QdO9NAUCyo5nr0enU
IUntVJYueekZ1z1FfAfvUVK7fo4ITl2UjTz0cQbv/KOlVdmPiDGC9W4m8lw9VY6IX+A7R5qF1sl9
bshIEHdE0fa/SAUZkFz59kJMtKXVo4u9XKet8uorIpNFpmyR1gcMYYXuGKF65oqQm8IlWvllFMQA
aIqEkj+IDb3l2KA69+EzdfOAYB7wUSg/+UsuELCSh7Isn7CUVinawbHO4nXxaTGnvWBHv7rtpOMu
hTEncsf6/jChLvSvkCHFs6IcTx3NdPN4b15Z2Ee6KyD3LSnbI1EwNXAQW+ubjf61O7JYhMdpqyiL
JfWuxCGyi3hFsaYgFltItyE3MVKQ11Uq87Ocx/VJhXEpjqpQEoIgnGSBk9CGTaelzwcJWC1vOrKG
BfelRvqX2nMyqmPbcfp86MFvp29CHrnnNuo+rcOOrK198Ag9lK9BX2tDzSjDAsL9taXFrzXqEEqW
XJohrJpa1QVG+6gadBdH7LURTIwIuscy7vC8I4qzj667uvgg1LLdl8PKUU+OM9KwaezLvzVNQiFD
N/DMPc+Fl5MCwFkIAStcdMeSK1xONOymWxTIb+3GeI6KUU9+FtqaODAdr4oySmgC+cNZKDghZdyH
XdQ3rwFScrn0J0qYx/ZMEerwWrZ10F4nv1YDM3Wj79G4iI/NCuT91pWeA2BVc6zZEksklNSmjXPw
PR07OV1okf8QK20Pp8VRZBWIsSZLZViYhEGaAIJTJwwjLmzcc2cZIOPGYOy1CLNGp/1mKSKQtZgc
PRNqjPYFKX5Fxh9Ky+o+6Cw4oSqqGp6E2DMP/TB5RELeNNR2HY4j624s+FU6M/305w29j1j78ZK4
BBP1PBHw4Zq/xvwyixIh5tT54iER3BZpaW1VmCIcnYqneCURJOuLzU+eq8Qvo7xVVVA/RCu7UEYX
euJdiDToB8aNsFsPlQnZRlvES1foZuLC2WDVS6B89Gkl2a9J6hSxO104tuaFVW0c/4sjgC1E98vC
Qb4nMe2xqJmKYxCPt/anzh6diwKdODJ6cJKsldrfp7pr/0YRPFkuDEhsGslZfVnA7B6nIQtfigqz
3I4jUrP1FItmRqvlrN0P8r91daRF0nbIeOFyza1KBBDTctXcNEO5U+7SCGKOUU4wkCch/X9dQ4YF
7Kkq2CdGhLk18lwgs4L4AsQMdksdSUGOhw629Wnh85gcd3o9ZfuuNgiCdRm6hwHySBCB7Tbjod1D
xtud793wXrebubXWoMVYrNA6rZxq63HWnlsdq92/aQyMLh59Q5NOHlqiIoff1utnEwzTix7pVci7
YanqTCC9pwLUYJRJg76tTea1ilQyzdMMmNtvxVfAj3z2vGh562cC8vKBLwLGMFoRGk9dNIk7D6Tk
ASRL0bjjT5LGIq6Op0nvbXOMKxFFtAXUBgsO6keq4I1N/dvNxw9tyqn5HWEa8PJQLLrNJogr1nFl
CA2OxxL5cO2PiGcTwgN5lW49DR1VH1yNaHAonCI7/s1a62i6qCKwr4OrYqA1ByfjjO4R7CAYvfDe
jjBh4W3QzauqPbqLZTTM96ZdI15qUKrvtrDH8AgAzT8rKCKoM8CJ5W1h7ihSb0nqJwCFgGpbE9wy
tAOh3vTg2eaz8arSvSyqReY1rKG5dLNHvL3tF5X9d4Mpmx6HydTLAfW7L8g9arvlVFCCfnIR6zf/
ObHU4T9b2GYkoK+trPvGnR2ZIXy0n70pBqgT+xy87ZPX9x8ha/IEHFtPt0d9vz0yYuuB3q0pPvFb
etsZJ4S667y+DM+h17mIbKO9zx0QMZPj0u2pzp702l5KbE6GzzPBttP61H2V5cDZYqGs/zeUvv23
0BLxkUv101OBhwmonZrCBf2CGyUnRUkItGRtWQs0baeQkduN/wl6RoejiMRooGHX4G+yCOwkyCZR
TzsIon8uQlC6NE1J+DB1664+KS+uvrhG9uRAdAryIdQcJYWwKN2+ccYA0046mOrHlY21zBtHdlvm
VYEV82dp9dkX0EUooqo2PAxSgnsMs7DfSEvxtxO/DEpIFhbx2SEJng+gue6cuzVlETmLQPffjF2x
+WeFRHW0AwqOUzNH3nIgqt1+DWrYtmba2f89YJNggWqutg+bx1pl1DqVbD10Sj01yHy3O95uKT5q
EyHiSvU6rr+ASeRy8iHIDQuqv1AEH0bb8qNTpdu8LiIIFFNpiLbe35P+d9H75AFPGoiojRhcD5Th
AuyVGjTZ2Wxnu0eC2O10sXTqdYkGjB7cnfpu8NdBpZvVI5GEMeRdnRKfE9lTHWfPpJbwuQo7g5Td
KuOH2RuX+PbALDA9drg3bVZ6U1J99c1WNikjZIuqSRLPh7KRv0bg2uV9jaRwuixrJNGyzyELQREP
zKE+RQqMyaLf9MHycaiksXKmjYnFY7bgl3CfDezSclpr27zzck3ruWmWxj7R2+OeYcoQUi1ycR/I
hna2b9Jg5iLnS0Yo6s++hdZJKXFN2rldDk7EPnQxWA19FD8D9YNmJOr1vmmcff+9+A2ie7fchuK0
wtL5V2H6+Ng1q+sc3bmp/mrc6g9ATYixDQhQHjQ3poev14Y0jvT/j+KGoJs4GtW/xY73H+2ElDV1
JlW/+W3IZ7S7eXqyNrqLT0PYAf+R0tf3WUyHBua+nRf9qBb0AocdUTJhSA6d3N9DNEswSEcW/wBZ
Wswlrlzbo5xxjGRtzUPGhNOWX1VnQ6Ixs+ok64cdvKWJwJ2zckSwcqc3cCLVz6C0xmlsaAYBLs9e
2PTduYHL8p4nS+9PmCxwl+kl/B9nZ9IbudFu6b9y0WsTHYzgEGx09yJnZUqpWSppQ5RKEmcG5+nX
95O3N9f1Gf7gC3hl2JWVAyPe4ZznzKecHp0rGd49t3Yr4o7EaRr2LVJhzJQJ00TvPA2YPHDbcSDo
WooHhBGAzG1uZ/9mqJqyvprJvMFa5vCT3NJfTbfUpGm2ShPmxjTWuBGZ/eY0CjDTFSkpEuvgxu0Y
GW+yLhqeiFfrpqOdxTRKarTCU8V9eSWU179WbchOTnkIbXa02AjQOs1JsQstKV7BE5EvU6R1/0jq
THqHE575STmE+RtMqPCJdBfkZNnckYxX1030yWyPbirrwJA8C2qCX0IxXWV0RyXPyjWf7+plHvjR
Z5hj9lqUwiMm0/fvGbu4jLd77Lt7rUP3eQbNbD0HqQophwtfvxpTLT8MdSMqiyWh6hrgFK3pCKDa
WoNAWtjYRXsmwgbbqh9hgaQvG73kGsrtzM6IvxNDidiizwDiInZOr0X/nLuFH12JvIsu308RYxmJ
J0UBS2XHUsRVOZQ2P3lkGBkmB6gS8Rv2GDExhysb9oculqUdZ0RZ3paFcM9JOiboR800PxXwI3/w
1ZTzGplc8WwuO921UZH/NQx99m0aQXnfqwroVbcQNPXZl13qXk5Q8lBYGlfiuZFD4R7RNi/lI/t3
l6y4heCV5yy1RPfZ8GSyqQs9MH5WGtsUapmQ62QUA4Ks2UpTdjxZdgr9QU0PSG/VsW9EwEPhoSw4
lGVl1QfCXVRB9ap7iFUC3i8bLxRDrFLTgI1043x0QuXcM770kkMWj90dWGZcnim29Kc2EeKXaqP5
2EZ2xlAzZ3eORHCZ7rD+VvfI1SLDWAO+zL0TO/VzYqT10hd5o9Y9dcet3QorPFStZd2g8Qy7Z1Iy
FgotKx8OMDAZYlvFkD5QJaqary8aiEq9KJB1bXxkuQG/oJVk+gQywJ3EwS963+wJF5/rvTPXw7SN
0h55qK46N70LpjBL3hQ46OCWwcA03DQNxeWmmrx9YEHz6Hr57iypfGStI1pq7nZ293EoZHJoMTaY
y7JLfndJEjJDrdLunvFYFh8QNSa3pEsN8R3DBx2TT+uNX/mUcTzFuNUna0VoUNLvnMT2DXO6Mlmg
avnc0GWJO2xdOYnj7+eJQdPBLVy/2uazcvZFV1nOLo50VL9JGbgxCYVpw845RTvGfItRwKYnZce7
KBxoETfzaOLsKq/6+oujO3paVGcNWztPWVVVqsUnk9q2/Laowk/I5ufxZHy63rWTjH687e1FbUdZ
udmGREkwYoudJbgpyHZgAsPnarEnhXnozgVwZr8AKYZG3FZXONWTVzQkOsNkqdkVUgCF9ZM1W+UH
ng3WP8S4T4AB5r5SGEUafJ4JgYOnPKptKE2d76n92OLVfpltf+xYhTHDZndvEo8i3nUolHOSCWXh
BPzU0YP+ipieT7TsZYa+HNMy43FpIU7EY4AktyY6ET7VpJOdBS3ORXk9BBGzMoFPi3K0/8FiMX9X
XAI2PzAaakTIabRz6wmfIQoB/4k1RHyeMOXEZGfWjtlrt0J8O3iE9q58XTnXNpX5tyz92d4tmv3C
qgYU86ulvY+vWM5lXzJxUSVGwzB8cIhUExp7ytAdNjnzM7ETX+Nz4dAB3yZks5oXDLGbnL4QJ49b
hiyWgUq/Y5OFU26SQhNSxq3x4ft4phvmrf46peA7ASjU8SZvnOYXpQAaMjM6bgDlojTllUIp8VBm
FeM6nU8TeUJBZr6HXug3p8fyABiJpa6MJp77gPB2noW2rfS+mQWS1sgrpw/W2ml9QDznnfGfJ/Pt
0iE9OdDMs2DsOrGQdiY68YnvjOEYPoXoWAi8JAghbSKbSAmd7C0GVkyZfufpk830Ld/lS4DVEAIB
Gj/H1vKrWmz/tW+q/syelhF5qcvhmSSZuuAp9wqS5QPEbmWPSyotFDsLMWfJ7dgSjrKb28jhKIGs
yIIXcffRcrlxAJ+7ze3QDtWHTmzne67q7LTM+AFYlzmGjR6mx++iv3gW6EvZlmqHTKfE78TDkg1M
GSWhxcVm6J1mQa8YIb7hL0hvi2RiueOpbn6heAxdxphsog6ZXXkHCgBACqWxcCNZBBVfVoMy3cS1
ku4bkXIMWtPILYEpl0E8H1S3yOFqzDNCHF2RxOvIIsL6wO7bFNAXoeIy9hNLC5pvlvYVcnL27tAN
CsRLCOZapCD88FejX07XdHlJcLRpkdqbAQnyvZmcwoNEUCTc55radquFsvUqTYf5Ro2XEYydjgFx
SK3j8IdYfpm9J9BLwj2DcX7mOrOt5gEmkWPWTpgGp9iyLgM3ErdvXWssvwQiEsH/nvgnEevonU4g
WFb+GObeFai2Mj9VOdPsBzuBgAnut0lA7aLoR+BaljYjImwufppW2V2Tjam9Ykxj3osgYO3klCVb
xNF2c70FRz3Emwy3+RkTKHZF2koHs7Y3Ttd4LNm9+xQel0yDokeS2vtZfN9mhUPmkj1lLpfmzH1T
tf1wLcM2+ZS6c8wbYFr758ReqEw3AtZsCZXcic+a8Va+H80coOrz6yxYdxzUt4gxlPzF81SEJ+JF
5ZlzMuZwNu7YXRsOBAyNOe/Pvs4ZraljBoiKRAl2grdj3A0/fdRIn4Je8qFr2AhvgdO2P3SbRMM2
drpyfCgRfG9ibLe49mvtbEry2sjKlXN0EKYY2XpGDZmAMoTp7qOojnYqdHRxxcy1BCwfBpy+/P2b
iXJrzJ77oBXdbZ4l6cnntzOzt6qZNYRDIMJ9zxAYYFSeEamGoh5PntZYvceL8BElevBcany8ZBv7
9Xs0xM5lB52CDjdeClovYIucrBw3i36akpUM6glmn6tAsK7YcKlMjyb1eL6gnaOlsTjXmqsQaucP
l3r1LrJzQ/XgSDIb7WZ8mtIQgyGGPrULsGi9p03SFhvEY9ZBlG32UzcdDXmmym7FNktOm4t0WW1i
ltjDjmic2GxsCsAfKJ7MT8tN2xO/iJobMU79h6JKRHiS2ShPYE0mdRVpKJ07lLNYIsEE9Q+l41dA
qEkVoWCEJxKe6J6Q3PgFC//VzOKhXTXS6xV9kHHfWMoF8cHmZ88VmPnFC2OkdriOkOflO29Gnb8D
j1B+U7i7am3CQApuKVkOG9wO2jk0dEDY6NoaojCSfQioaXpRq4GGt4tr6HPDuMuCTrHBLXNzX7CF
ZDRkpxpZ/xS6y02ZUkJTz/Qe/OxaBoaqRWbhbnYZVGxH35Y7mF2avpgdBOK4sIC2jN13wFhOzAJt
rCS+daRA2Y4d66mVYD6ComA2MaCJYTR0W5CSmlM3XAThksTVI/HkrY+cKsQGhj4zvV1cl12WSqcG
FM04+M41ASPLzomwua5EDvdlBXKueR/HNn8KW/jtx3wu59s2C/szdTDLSuVIkh/xm9fXIbpRLNZW
SM77qKz+VuL0l/iq3OHUliZYXnD/L2dfdFVM6y9RTlPMNgzcFo2RnEfiYfIBIe0sD/D1mU9F+yBe
OIWOqea237tdkY87i1Ujly1CuvQSXVvchknBQ8vV5zzQKzvlIaygmsDgqssfTR76p8XmuF9R2BYv
RMUUN4PluWYD+r7b0YVpjGwMea4odFEwZcbkGlcBoUkuZbhHg2su8Y0+VN3PyjioJqrFrTddEoZn
gCZddM2o0I3Bjhci4G3Vwwt5JgBnMXnzqbJC20/57AzbFhFhvzKMSxnMJ74sPuXozPGpTzG8DSsr
cSbzmoNY+VXUCvWY1dmTxNNu57fj4LjTqjTK+DtKOoqfFIgAKY2s31iXZTO6RBb0drQthlCcjO1d
rEIY/VIE9ZZChnBRPYKzRXaOBw4M6ibpIA2ummqa3Y1/GcMwmHFC/HP41JdVjRKpO1tkYy+3VeZ7
H1VXKTT6FAjNdnGmQLxyw1X6OC0Z7BI45vgU4sk02MMmj1Cp2k2Xo5exjylX1jh01q6qqQg3nag5
wUs0nWuBtz+Chhy22Ie5G9dToocz8/KAB6umrtsRCorhByLwpE7IqfQIliCqkRwmafMZen0XPaMc
jdudy+8oXHemhi6k2W5h7s/6BuctBsL4rg9l9YCMaMAPSy+o17A6gl/O2Ovsyjfx8FlMc3zT68ED
6lMV7q2lXFf+zOAgoY6OUaqsKrYbPVDgJqYpiDOMh80wk6Lr+ePFRTZH3r0n5h45m7QqBqGyb9v7
IsM9z4sRfILyeILlrpPaeQgvVlgqbuEUW3pYB3cy2bAuDqbYiHvEFUjjBhGZ88V3dDUVSD0YrRRM
OIomxt4EQrxuab1LP9lTNuFrUN786BHAV77PEQ6wYQg0aeWGRPCrOIyb8osca4TKWChY7kOfTtsD
+lz/Bj17x2aslngbAsZqjIHCgCe/QDp4z/afwqYBQo0iHCDPa+PjHlmp2Z2fmIU7903fEFrKFvTN
C5dKnVWWLsBs6IAZzlQl0aypn38TEDN/CXY44apb+vaRSAzoHnbH9neTxbgT6cUS8aM1fihhNTuN
5tFMebcDK7OqCFiUdsZFtE+dxPo2yrjZQGawkWCSsbUjDxUSot1uh3NIHKPFsxOz58xo4iNHiXDX
MSJmbyvREXJrCrV8oCkalk1SE+9xzDJGkGvHaaZTXXB/bTMQwDVwKvDTj15ex81Rl2H/07D5wAsF
UOXl4mhNQCkk05kTkXqLpFcKM/KBGDs3Ld06tA10FlvUVnHxHlsVZ24v0ia4StvRvo9nsIsHm+cm
WkVzNpytPpj7dQB6gSbDban827rpIXCXF+soO4ER66ZN0CFaf1N+2THIwVURZCQQq1KSUJ5iEmAY
APKa8Zf0omtiOMWbz0KDpUBCetHa6fw42ESwUsifztLpzhDb8GoV89I+dYpfCL9SnnhUoVXRP9PA
p/2r7yFNxwK7dM8kvw6vjHou3v06NndhlPFuWJP215A5arHGoY9CJyg79xEuIQyCMUkXbgWae/SQ
GA/geqdC3wZ212AAJz62H9gbJKa9hmuvUWrYUXenQt9rdjaMilefHfRPPm7lHpyQ5E2wivhWd6LJ
Ju+AxDY92mEcmrVqXZuhGcMBwFAdat819HIWyBFtr74J8ol2eDCaP3b2vFmfajOP1yaK6vY4EmTM
Bo0EUWfNEEkzGmHygAWWf8OIiB292eEDwCU0tJDk1lhAelxcmVjGDRUs6I54ljxt8yXTd5O1MQLd
vomQADBKpWStwCajFYCXZkOFF/YetUXtbS2sfBQFTPnEBoOlLFZL6WAmV0aK+7oNcWJzRJot3tfY
Wvc9GoV10i6LxEek0+YwwmyPV2luovRXQW/Vwdyxpbsa5rF6i+clMAe0fY63El0dPSXeED0PmODZ
XQJNd7dRQjYnoyo+Lx1n7VubC8F2CFOJv8JH1Fyzlmcr0DUzIC6ppljv8RbWv7IeTDUwDz2Hqz4p
8X2EOEXnXW+G8X5x+DBXokSxC/OkyB6hyiz2PtAKQ1ro8TUc83CQY865Ji54Y+hzObokyz1q3MHV
Mcl9EAQl1Xy7p2tPH+eW430doWHr+AMYJW99rPxEoZVAV1Y6AQa3UXEQPvaFSO1b2xTeFWqAHrp+
JKMdBOYsP8xl3CUnRHdcaC1KVnEMgNoaUtdVhz8jgB+IKMnbs41smmsbwJq91s1gntrRCZ5sTNTO
ruHBuZjejbXvq6SO9vw8L6d8bzWc0n2V7djq9qiHJum/tl6BzLCdLARMg8MzGfTS2Y91j14jTyQR
PYNpe28zYindXda1+Fywn14mlA6jUAyOotpN3agfrMYg+kicssvB/tf92wy5y9/kaIUfUKKzbQpx
HCNFnx3E7n0l3QIgSoyGeWoaPD0Wm5IAkSm2LMqvhEaNXBqupbmf4LJdxIRxbZNA1IFj+xy4U58n
s8AaQIAk69uR1zrbC/6JLfAMK+J18/YwY5myToxolbeecKGPSHMz9yrEoNpv8jJmYMrJMQYr3Gv/
eQbXOrkrUsngs2Y7tbLZNYance5LsetzGP4XPo5yvlrf0Wddd83IOh56Dpq5tIX1j3vZF+skDPp7
vrwhZ5lRmo8gSNwfFYIe/+irkKR1UMlzQNksZXmtpn7xeNpc+Y69y3/hhs/sbY/ik243sYMPu7Hs
R+AAdL+tGZlzFCh7yVgvPoO6XeS6ACfTH5cwsqM9Q+zgqyLiJ76ylYgAnzOEt9aj6qtlWyusCddA
J1RCToSkDiaKqnldmtCJV8SWGwzMVmwjYNEuNXuGBmO4sr2i4/EJ8mLaKQJ9200VMd3fei5UD3h7
i6KKikLLf4TUgPnCi1Df7hZGiwz13MkhYdIfKhYxDuA1F5bisdcRfTG8MTgH09RO4UoKR3OEIFi8
T+uJKPOFEeiEUGEBl6cxtsOD5RHdpGyMAPdJa/oJYSV8Vp5VEivuaPnBsggwJ+XZCIazl/ISiVCR
MaVbwueF52Iezki64uLFJ8NdLgYnW7vDhUGNcJiCz0fvXa5AAJffBPTW5ui71GbrtODq3wKA9i8U
vxifJs8VSXc+/JH+mWKLb8mM07RsnNm30zdRe+2EaK0CiBLFS3GnAjKw9hNVML9w5gLFA4xOUoen
xWGWkHEs/LByNOcH5LEtPMnCZ6CoqU3RYZfSI3MBaSxf+mjzUd/mDauJKwqTXF7RTU3ZEdGOaLED
DhnoUTePNb5eDTgBUzbrv6Wouck5LJbl5Oc9oS7YOXJ9xjrblWcG0N6bX7OSe7KgwOjtzNyOF7SQ
dQG2WCqsUSpPl72HQ5VZWZ9E9UeA7PFYYN6ar5G5iWWvRnzD+0E3zXDLPjW87Y2XfYiya5MHRODo
FvkNzowocRrTRdRKzGvRD67/rhj5p0ccc+QCtUVERZHxBRoMnhIpGInZnXWMZShesjm2vEPWT+mT
MB2Ig8GYERtBFuET0jrJT3www13QGpNsuX5M8ZG21Dzb1kqWet+7yXyDnhz0+Gw33o84Q1448Xzz
2EZNGyOB9aPptryoK5lA6QcBngq7r1TprmbaP7JyYYHwUEZkae/wEWT9dRaoyd8Jqyj3i6ADwqMr
apAUfBsn266Geg0PLfC2Q+oMejfAUkWv70Lrx3aR9uXVqHTzBv2zYkWh2F8dygky5HZsaWwOKVCI
LVnwnbkN3K784SZL9qpBBtID2eH8NC9paq7lhJxuS1mj5TaS6Jc30bRE4YYgWVSYMUAmno0IrRaT
ZZtNEY0g+/1JS2SERRmtY/BBy2kCINTvTRBlzprPLxvw9kYTP1bTlA+5lY7WM/Liliso9Rb/2k9S
GW5RH8cBOzNBk2SPY5kf6OGy5qa16vZOTKoatqSTDAkqhTR2tzb4yx8Zyqxk57dB15O05cdHuHU0
XFMlUXmwJCm4CBcrHbZ9UFfXSpnKgSPjLzkJJJPkKXZR8dJ3WEX/k/xQ1FeVCwMQC3qg9wtyxnhF
PyHpJxe7UMAfs868TtxJyD1sqytWGIRKtmfM5CdcVk5agL3w+2qFpFVNd9SDslrDhGSQS0ive5Qp
Au+roTFjclXxXTAmQPpaXaMEHcftgorpJtND5N4S8BJkNyMBPyyjs3baIx9NPkfL8sUuD1O+NFsu
8orpGbAn6ZWXB7y13O8yHurpzO7Xb3ZtXrTBcbJwArI8GDGBs1rroq0N7hMQVuuIF8u4PZOQxeu4
/v2ZYQ/cnBTbqJdo3ApucfGoWVqsNaE08AIXtpFM3mRk37ZVEI1wyjzf3VZwvjkSOqqunV0xM4JY
BJhvUdb4iVrD/c5Mg/9aE9t7Ay3PzDf43uJPqpCquNjeu00wTuj/Lmf5htZnYisbT9GDaVLmu4g3
mAiKRqiUJVvZfMErSz5oslgghdR7e58ZQHyNW6wNNgb1WU8qR5f3j8lIJCdbNhXeZ7VtPscO/zEk
B4yF28xunRC338JQw9Y2THjizMm79iPCoLaaQ4OLCHvDS1zURh/DyPQvS7ksj0A04C9QjX9hljIc
Pn7QVkAY2uCgWtRbwHqW+UlktXsRM8woAj1+XfetitNDYnnRHW0TCyivwzh/zN2WPulCHTNr8GBg
FJzGttKV7gbbv6q6rPns6xGLpGyw1cOjrfEuaaYP80HgRqheqhwI7a5QS/jTzaauPxK4FexxK4fd
aerK7JuJYisQl3XOyUWm0YEfxYPyHQy4pZjkofTl+Y0ovAddqHoLlM4EBDKGxT5Ig6hZ47Kv8+OU
prnN0m+RzG2JaQpQzVTZGVZZlJ+B1HAUmyGjyvUUI99NndMyXprYITxqwWJxK+Tim61oApi1bomP
buWAk0Wfibu9OxuetHenCbrP2jfhNeAfgap57NCDtFVtXzjydDbU9l62bBcd2/dwoJE+NUFe3aOO
YMXd8jUfWlBgLPDpEd8F+vdsg4wXsDPkWPDrS1jZ2dbKlPfNl9UQOgaDO75ykoks+6UCg0iOWJ65
J666PtrDI3LiPS5KvgL+y+Gg0zLnZnKV316HSKJb1vLkF63pfvVrTI3SHCIBxtouS+vLFWG2HJay
T+RuSvuFtOrYFPcoXpnFOqPV/RQQghQyjW75LgowezfgWxq1iwfR/QJkH3/Rz0znBGnjvTMabH9l
blcvRLyqZw694Jz0RfcjwCfZbyMr0FjkCwe31ihfIwrJF3dZxnEVwUHoaNOW1NoyNC+vMlRNKOIS
4XCdi7lrNxl9Bq52rVH9d1UPljl0Qvc2R2ZvcYSm/S/6ZbaX+ZjYPxM0mu9Dr/w3UQ3kRdgpsCOa
7ch9zGWPMMqoHDfpnHnjCT6Wp9Y5gwkj3liJFeGVMZEetwVjL2edYl5udky5rMclTJZ3KZqm2aiw
c98Yk/MzJ3yaTgnwbHM3wzEAYQCwhdU3cqRbJ2IQvqKIkZRKJGWdrRo95iroIjNuA8vLmZyxC9q0
TaJ7FupsIJCryvHLmdP8rjVpiMqZKwxSVei0COdCL8nXrj9O6TUsTvHcDdQF1pCH+RrbBaNLodmz
ja5fWuswUIF31ktgQ91sXfHm4XO4R70Tx+sMOapGv6kR+Goc1wc2Itj4y9rSrwRX+vbGogbcMcyE
RdTnA7ARct2neFdy46EbQIu3xh3VpFs8Ycwx3QIU2wNye4FXDpoI7rOqZ3M9XVYRJUterBY5/qJx
kXa3j5EVXIgAbU7PlbADXrUuu0HIYYjHjuAL5V7l+Vjftn4K8AF5jiX3uT2RrxQygFSowyuveOk9
0Flomnnt+8ZrL+jcgr/RXDfdZ5QA0GFxN9rVkVrKXKdjZwPYmMbqa/YscS2Z0TDKZ0F+ozJZ9Ts9
ByirMx5Ydc2YcEk3rqoCTl3FjX22yewS26VIrGJX5b1+pTfIi7VowC2uWCxxlybzAsKvTpsOWAwV
4Lgr9ELZHSptmstuOUo27oijYeOk8rLmtdzwefbm/LsrqdK/STRHtw6J1O5PRQ3gZgXkD0b+ULNF
XBHkZ7xtWfKW2DEwOlnFieM+j3Fl2DdoyWw/rRMs5OyDqs/ZW4oJOmPWjpsEs+uwgkZWu2sqGO+r
QON3auZWfF+ERdHKHugJOH2YPqx66IIXzxGSfZCwc/BoF9GQ3Y2W7uNT0lYeRj5M/DyODabX2pgU
WxS5jvvCCNx1nhMQJp1by/KRMNIBfmcae2cir3MY6WgHfWAHSPkmrOHorNwJ+sBh9F0mWvjRRLMK
O8t9TMAFf3YeTGQQLsF4mwVNGK1d1XLChgnP786NkSrs8sYlGXdWlTlD22V/b8FngR87iVevVe1H
B4YcRY2kDN1rbxBfKWlG+Znb1pwxM5Gy2obC7rdWEwqE0jkGRd5AlDL/hNJ91GOXPoE/YR8FMq95
rpy6A9A/p8MvCF21WQ2OL74ax4hwA3aCRQbEM6LQcy+mOuC0hWVXO+l3wCMI/VcOKVsnZ/SuRwpg
PEpx7/8qQNgO8KZg56xyWkF/BYWJQ6DMxTjiuG/w0wWsXY9LTblB6zVRGcDm8T69Fol3mzZNuJZ5
yO1hVOPfoD7H4IISKXhFUx4fZJNA42mKESty6gLk3vJ9IAkBWN4h2Jm0f1mzxagtbFVn5a0oKvnL
oAmorgKAkQWM8lZ8kuxhqfUclQrLaOl16V6gVj87eiq6fSDDZVjnDbvN7UySjtijupvPnp56bCtT
ZE+bInOrn3kUJW8hQsZnxwsmQG9Tw8P0GWSxKPawn/p25RUiEoht+v4+IS8iPKRNliVXaB2oqRHZ
dVfaMTYQKeTjr1OZ6FcNWp/6ZRgmZC/FAGXaXoafSaGo1peuRb2XO7ScCCLdp0U7PsNMsFzYEF2i
VtjBdFl8a1m2+2wFOV5gK3NywMuaGXcPwcBDK1E0HnpiRk6XMsCgRn90u4VDsapw2rHtbId25w2l
+9ZHlYe9XC7qyVsQFJKYEIltyp4apQZsDcnu2aE75RmKXXijGC02yJF9TJdE18uVYCGabO3ZZ8zk
DCBvV1HB0bqJmYFtR/hMPacNm/r14CP6PqMD6eCVsQSCbE2sqScTAiK7oN6KfszypwjSCEHe4cTy
Ee1kMGzh7eI7CL1sYh0X6rkglRRsxYZxiJMflEJNt63koD5g/zbJoRIxYuzY79Q1NPsh2/Qo+Dnd
HfIg+LFZ6ofdRN5TSG+rt6qwlxyJEva2jfLRcmxQ7VCm4mA01xNxKS8FeoiP3jRWyepPO89FOw9Q
MvBeM56IKvsH7Pn8QQ/NzNtH5XVDQCb656o8Zfl8rIV3CdFhCP9dcrbOKN5MrIEpDhUzdxDY5Gr4
enouhn76US+I3S2dZkiQSYc9NcnEjFk5IoGFi777OUeHJ08TGQT4wqixLlgBbFZ7MpmaO3uQ/EBG
JHVPc6WMfWIVmtAx4vA5A2kc0VPBFseC4aHktHYIjOBKdb6yH8HPRfLd9Vpm5iPRX+eYU/yXY0dy
3nkEApsbC3cJs+I50GQ/phDeGQYWSt85eYz9oMfAUW8XGWOrTONZzZsICeYVN0qfAyQ1KKdby3Ef
+sLtuclyLqcKD2m/SmRtZdSTXnP0hiQINmkZ+xQpEGLU1p+64X3xZ/Vix3MpNy1bWTK6hlrzs44I
tNvwSc9Mj0tMNQrZUXGaXaEEQ5Yg7N7iEfv2NfXKfMS/LLtdo5jpRxwJWOxZ38MDx85r7tB+0qKy
uo2fh9HnOAv6SKUb1kGawXzIzGNDS5X9sOB91GuQlbO/q9jx/ijj1puAz1jT8Y+axoRuiC2Tn7vc
MsIA6hiaGoj5H3UcjGNd5iTRaFWI64YckQ9lxylT4EKwOxlCvAmguWv1K+ownWJDQ74Gp2CMHiqX
jQ6pLinjvrKA0cAYRnQIXXq4gO+XOEl9Vzdx2d+wypbU8KaJwie7n8SykcniXOE1SgqcNnVcrv4I
RqXmktpug7YmPbFXCOCG81PPdn/YFROLigHhJvZD75NdXfdcqjS5FFDIsATO5Nc/lgUzoxgU7l+v
lSFlrUCsaKFuZRZSFd7uD8yTXSB84rmNJ2O1FlyeR5ERwnNI0TDP/yYW6i/yjOQlV40/xReAKi7R
Sv8lGcsWEXAXVXVrNEkzpCkXkctuGrtJHaY+yq8XNHbvc5jNV5rBweZ//Mf//L//+9f0v6Ivc/f/
w4T+o+yLO5Mw+fo//+OvIoYcdt8U844jAvu3rMORmsbnrKP1wd2BdAkkLeO84PT3r/IX6VASVJ6D
qBGFSaB/S8iL0rkhMojuyZIsV6Ewflt915zpM6Z/E3p+ydD6U2QS5wSqc0coeh+XD/TPH+aYxpGB
qeWtk8ZKTuPSyz2X6bh2LHIh3EL9bIghPjcEbJxat//192/zX9L5WMDxkrbvCJdSUfyWcVbHQ5Th
wyc7omzSq0ok5FWC6ti1UYdD0BliGDxZvv37F/2Xz/Y/X5R3LQSCOhn89g0uczV2sYvqbWn76kUo
wNhlVVu34PCTf5qpyBsLXEdpBd+H/LLfvkaWZVNHvgEGs6pqd6UflBusqt1mCklV+qfvyrGZqdiu
70Am9MRvIV9OKIcKBj6wSd97bII0v5lU/e0UQ3H+5y9EL+kErm+zQBW/hbLltucibIIWACe3XU1M
BG4lp+qOHTjuzL9/rX8JgOPNOJoQyICcPY1V988/Thy2BK4UgbP2oY3Ckp6JYleGhQUq4RWBGMM/
fbgvrxdcvi7OFYlX7s+vl1ZdBOiM12tQ4+9hPlpbp1+K+3/8rsj1JBKYt8Vow/ntqyrqaOE21xSc
xJGtQ5MGOwyjkHE7AfxEjd7j37/ev/7gQWv7eHsD6bMR+v0Rty18sIVAg5eLvl1L12OZW4Mncka9
vPz9S/3FF4a7Urr83n0+Q+e3L2y4jAaKhLiJpcy957TqWTj4lfPdASjco1eN/+k56TtKSLR8jAd4
wOTlrf+Xq8AiD4ALEhWdBYz3sETEs9dIqNbc3v8uj/EvPkV+FkTYgWhycMf89q3BOOguxgWAM3BA
DwS68AQwnVnjXev/aQwh7woRGOcU/wT88v/8rmSIMwUP0eVZduqVJRNxFSIgbKzU+TcH1F99X5wZ
nIVIbTn9f/u+KonIcIp5Kw06Bhy6NNhjNKX72B0hri11uvv738dffohsTR3PcwM+yt/OXrI+xnwI
+CmWpCDvp1FFG4fMsH3Xpt//jVeSgQI1ooXPhf3nzxCTP9k5PsbwrGEtv/RRuG2MGrbpFDX/nTel
sFMKPkLPVb+9VERJ79jJxCk1Sjh5kAL+H2fnseQ4rqzhJ2IEaEFuJVFSma72bjaM6Z5ueu/59PdD
302LUohRZ1YnZk4UBBBIJDJ/82AH0C4QfpAbrpHXtzU7A1lP+moAFPG0vZwVUHJANwGSwmjhFICZ
R1RzjiH5OA157EJ/j00DXK8zNLogC7jkx9kzefD+D0vrCtezdNc1XX21PUse70UzofNgBFqNBxJs
c4qVzVm4Y7IRkP/8rcv0BP6ywMTCEXR/DX2Vnogw70oaYua+WIrom9bQwdl1E9ZGFSiztyLK0ndx
01hPNMfaZ8zwxFuu3MWn1e4+AMWRv+a0Gn4Byy5c3vdgs+jup+ck1inuatBfNi4sNfV7P3f1fTQN
mGrquOY+pV8RFhEd2GDC+gCjCx+5drHP5y5GaxihkPvf5E/eeW9k43JnoIwCxWVk5BbxRgAPKMvl
7luHwtm+1p3hyVOQAIoEv4PGbJ5FnEfnug82fsWt403w53s5KnC5q3AMechKTNA9MP3QlgxiNMZb
4P4PiITXG0OpQ3U1XwQUOOHAgB1ndegouSQ91D1rH3T/2GA0TzRlCtq66MhWiAjdX91bg5nKWBSk
B/QHY5XzeFXaWUr/lrZjEer7UreqZ00mzckep4xavAXrbGN++q21dKkUkJEYjjTWbsYeHGuyCDw4
EXBp0fbFiwAEdlA9SNL1hxm3L8AohnNELnB8V3FT0OHCE8CnNJJ81gzPeZpBfdcH+DPiWFMsP91f
E3U1rD4ApGId+RSXWh9XyOWGK9Tyl0hogYqDWOnW4O0tWm/+/VFurALXkkdCywVlCLHa1sEy0X1F
9mDfzgJJXQuBFGkbO7j38/H+SDdCK+Fb52I3WHHTWe3dbDQH0HbkfnSHmoclKoKHiu7OnjKKakE4
xWlo9QgtSE97xjmkeX1QJaEm1jnUvImqqy2WTzA/4zGy955Wau87R8CtEHNVPkO5zr7dn+qN7Wxj
cWzxUmBj6esHNAhJOMA1YwEUVi4AJj611OlAUy81xDKszzbW9sZXdLgZ+YQYdNt08y73CiY6iHna
lPQBrbWP9Zii/Vd17nNjuN7GUOpPrbYlQ3m6QVrDy3lt4YxLT4sxUMBlnElaQFkb90iUxhEi4Jiq
+aMljDc4Y2kbEeLmDF3DdWwwN7atq9PyVyIKiLNJUGdCEQ3SxZE6JyiSCk10WB3l+dVfj84EeuSc
YVciN3o5lKOhJQ+9lCR3CcRHq64S+gbgjs+wKlMPHN5QGxvB6ObsPIdXJXe+Lt3V7Gyz04mBbBgR
hl3ta4iKvUHZxE4OMdTy1z9XWEU+oeM6hkkGfDm/jocTanAsJcoqDkgj8hyJX7ffVMA77y/lrXkR
uVzPsLCDleZqXiky2iX4Y3sP4czGYAj1YS3Do7YHfLixQW5d0OoE8HigpAPXczUtuPrC6XumhcmT
DPeVWw42MAFZnhHW19AwjpAczkavGHmnzeOvpqmHB7x8msel10nOXz9zh7uM5jlB1bZX4abNcIWS
IzqZmO7Kcw8D6jh57ed+hBT7P4zkeehhge/htlDB6K+TwesNg1J+AdmigaEA9DCkjgxwrzjibazx
rbMv1fsMVzX6vu7qsminBohWC5yiAu77gB4jXTbcqw4NPZxHhKO1B6iJ7v9wHHlfwL8lclOjMC/n
F0p0HmeEs0EUZyFMW2AYeeTo32crP1eLF2y8eG/OkfaRtEix0LNcfbgSjoNrzOg2BXHZv5exlezx
4FnOKGqkz7AEsZxAq/D1z0Rit6mgVTppnbOa44IEHfg6pNszsKq6r0ij4AQ7abx4jP3DjqP4+/1d
c2uarnTZm+xQh2h3uaoooVnBhI7H3pnt9vO0IDTelMBZExxJv4yRmz33ozb/d3/QW+GAujKKoh7P
OctehQPRFLK2RpQSoMJMh3LW5r2TaRAE6BafXj0UdU9qMlQFVRFotaK4bCumGb0D6L/6IaJa+UxZ
OT1mdTBs3Ig3ZkWZHJqTkLwZyXEul7KHvgQpq0Up1hPimIKspBeSOchfu7/vT0r9pdXdC82PTUn+
RDVGrD7aJIKgTSu93ZvASl4aTKsnuJ4FHp33x1F7/Gock0cwVDnKJPYqlLqyLtIEaVvwLo135qyU
J2dqHXzHTQSnFkd+NgcwCxXXISYIMv1xf3gVsdbDS+EALKFR5lCpuVxQtyl6O5QmJ17Y40cZiOUD
qG4kS92hONZzoW1UXG+cBYnXKRVyalymu46gPdhEGaW0FN0lhHmUl/JXKdpwH9PeR8BE2VMCgfzw
6kkSs5F/MU1TCB4Sl5NE+hjRfrDa+8FDnK5EJeKtQ3f6iB4kmia8KDe+6Z9VW60qlyL70zVtzqBc
BW8vG2fapC3Can2a/rCjXP5UIf6HkFA64U416LPr0RRBYVogfYDmCj/lVCCdw/2JX6+2LR2PjMIk
y8JZfHVcIHMg3xRTKBWOZrzHNDH7TUsCB1QICE9IJdhyN0OwsXb3h73eVLbkmDJ/aCGINqhT/Nc1
6aAvHLuYKuFfiONYWigpE2wmH+Cz/GITxhuzvDmc7qoek6d7XJqXwyFZqENdAuSkNAA/geOxHpoM
XvykTZCyoxKZuVfPT60oPl+Q4HXmeDmg6yhV4nJsof9otCUTM+8+Lr3lPCR2MGKgWXYbM7zxHTF0
Y0zJPULauroozXqIc1yWoH56eXuOzQr1eqwdDloQpOco0oKHRdOMt/dnqSLP5Sampk8854nDK47n
1eUsKdCWtJE4qnh6gG5qJkwGUzIeqVfVf05U1/8lXYt/ACSjjfNzHeXVyA6ZAe9xB/jV5cgWykJz
U9tcmOiX+rSe5UNjusYzOj/lRsvwxt6hgqubVOUo5RIEL4fSAiOpIssC4lCh2dhM8+LDrQbsvFQf
ywAn7/trenNmfEHqSqDrLHt1q6S5jLQlBnoCxbk4lmSQwPwD7Yh0TraxiLc+n06Bx3M82k5CrjZp
YkxwPHKlH7NAABwaLfQtdHdQ+Da/0Pg1TggaKZuESdvI6lRQudw35FcM6XqkkazoarOm44wzUd50
UECoL2m4FB1jCh8bR+L6w/H+oHzMviTUXJ3BQUeTBOJ3t2/bBEkdSAEHRGiqI0qdKA7hDLOxnLra
CetpSfU4o/NkkB2vjkMjKkSSO7Oj6VRbL0nGCzJKCkzNLLOOcW0JmpOoWsgCjsjPdZ0jVRp7nd8N
oYmsx1i/EYiqfb6/na6/sYN+n0Epj84zN8hqO4G8DqHg8Y3bPEMdYiDIfgvTbjqhE+R87TqYmOdk
gl14AMcNyPL+6Dc+gcc7k6yPf+BtrMK8J50JXm5NY79d/gmRP6bxgsn0DKWJEHi8P9h1nkQU0mnT
cm5s01i3n5UpLoKIuFMIoN1nDLkQ2ZHLeA5yLHMprMmHMswRk+y7LvFtoAivrwdLDhHj8yscBNlX
5ymjRCoQeOr3bpr8x4OofYNDe4CQbGq9vz/V6wPESCRkUEi5u5nvZUzqa6z5Uhu8jTEVMI7rqDvF
tDs3NvSNUcjAeGCq1ICexOrr1ZqHjLYIWNDFg/aL+c+jZiCVen8u1wFPqhKkmg30FrbL5VxKNGtR
kp6QZ1VyXnNkDg+Onnwzx2U5/Q8jOWR4Ji87qmarTHZAtAz2yoixK2Bk/ExD+ZgjPozeh5k93B/q
xl6kds4jREelms76+gNFLrY0jtKOwfexhSXR20drMsY3ukG9fpebbfopn+HttXKov7aj8/pKMupz
QIYMAAoOnc7VuUegl/pODowK88LimXb44pcjupSpmCz//lxvfcA/oAXvz+dbNwTRgBl62Rsjcjw1
NKkUMhnc9+QdaodbnQm1bJcRFndcZqSALAJB6dWOdANMqvQZtmVtLuZH9O6qr5XmGF8NDXzvbuhc
75CXRfnq64pRQa7xoNSpna0/JnI905SF1rCfgFI+YaxUHfTRs/+Hc4DBHXVAhSegkXt5DsYZY2hh
IdEO4xBd0MVEq9Vcmj1efq8vUjEV3pPEDxqrVAQvh9INGMuArIE9SSxLJCKtPk549i40kWN5/eZQ
tRQFIqADbq/OnNG0mAIN5rCvg3Y+LR7K2BGN4mM2TD/uj3QrWtGI45pR8Cqa05eTcjoz95YMt426
qfqHruGFXLgg/e+Pcmuzc6GaNtxaVDHtVbSqzIDSXwL3snaxDUGVHynoxq7PS1cOG5fn1VBMgqya
lzAmXyBMVlnSgs5S6/R4uwp7kCfsUeZzPfbUGGAh+fdndXWu1FCsnEORlEzXWt1cGkbe8IqQO0qL
PDwDfw6RIOqid3iytd+9wYKSmuDYUW7M8MawDlku9kJ0Ebhm1lGSVjb7oMILkyuArLr7hm2ifsry
1PiF5KpbIgJl1689ZzwY/h50tfltpHDyMJoWtOxKyGkGBjuocnTHOR6H8/1lvfEF6eR5zNAEQiOu
oEgxTyADzYR9hfDmI4hllDklfm4AwK2Nc3aV56lZAZ2kXctaApi43P0B4JLYnFJlzJlNWLMh7WqZ
CPAAX9BO1WA4/5CHpR8n2W4cu6ubbjXwauug6QKs3oqWfdfp45F3IOpFsQ1VU1+S6hG19eiAkhcM
fMyHn2ks5xsH8uYe4jLg4NNBoTJ9OXFE9pau8bA6EREmVLtYIGt5CKOseA6QCEigaNQog8xIXGxc
8bcHNm10p+iikXFeDtxIHQlWnLbo8qXDF1Q/6n8NbIhOUGHkoRZyOaWYQL7+oKoeOdVArj+AYKvV
HivN04ugVLMFxL+nZNXmz31XFOPPZSi0d0PUJhoV3LL5eX8rX0VXYEW8gqneUkAxgdddztYpF6ue
UcDZI7+gLbBJelDxOBbLT68fh6TTJN30AJOue29cF0btNvCnHcpQylFnboKnKIK3svH5bk2I0Erl
giOHAeNqQnG3SCsLUqE0kTFvLfFfWNphqz97IwLIv0dZHcsoRaMd4Q+xRw6kO0knQMU98pQKkXx1
SYQvRLJOjwRyJg2a1XWBjlSdD5EB6MYpje+RNuvvjV7S7QJPdLj/kW5sfUlSi2u9o3rPaxwdRjmu
V2SB2KP4htoempWogo/zQzMI9xzirLsbEGff+GA3Ihz5iuPQPtAR33RWmYSQkdQw2dKRmMubn1Re
/kURcXkZiQlPUPCLg70obzlPIip/f7q3PqKjKlxUE6j3r7cKZndhl6fskj535hO0dIwYE1h+Blo7
G5fTrV1J1q4AkaTvV2BZj15PE9pIhFAAL0+lKOuDpKiwETNVlLhIo9kqFAuB8EnYi+66cygtJD/r
BRc34NUz6pGyflB+t8da2V2O9WxsNNRuLaCqiChwp+R1vIrR3oRlHDZfxr6xi9wvo34+4vw1n+A1
btVBbw4lCSCCdN3mOXkZp0QNE4pmk7GvISX6REuECTEoQ3dSbkFkb64itx91RUqDtCouh0pj0Pq5
zIx9iyfmAyQG66HCPeVxgrn4drTN8HR/G946dXwyIqNBpkZ763I8nBOSrnOYmmk2v1Loiue4gzWX
4pB76DCMwLx6KTfGvDVHnjx/yubUVNaQgQrAe1hMhP3Z68R+0es0Ocz1mBdw6PFhRIS6eL4/y+vO
CJvT42oDPUNwgS97OU27dDAEmD0Cc+L18S6L/0heT55+TJFPRrgO1TDinHuMIxs1OviG+jEoBTSz
+z/kVrxh3jzhgX3RpFnF01Tq+ERFMfi3xDXeaRiyCDAazniinDb+LMrOhrqELP3QNuYWHO56bM4/
ARYjP8r51JIu16DSQmca5gC7rjKpD71lTSk6eTvDO8JNag+1FY1+l7eaf3/K19GHYW2dvWwpTNb6
oQthn7qWutjxVrd8OSfBmxTtu/P9Ua6PqBoAtDcvaW4KsZ5c6i4zRnITWNrAJvCEmGkh93Kcqvrr
q0eSFlFAvanJ0dbJBL7oFOkmacBONA3fS5foNLpefdKX0dmY1PXhpJGugLuuAxjjCmQWOrGtFW0M
NN9DVt0sStTDhYYsVeEGRwCxGlID7RZQ6fp00ncGFMp7l8cobZDLbdJLyNy9DYgP7mZ8tmq8bRts
5s5TB/O2jcERv3Y9VTmJ5zzvRHpN6/UshjRt8Z9CJitaeri+U0NkKHl4POfgazY24/UZuBxMbaO/
WoRVH0TjqBBEsukQonZbtCLC3jyIxR6x6oW3L0tCfI6r90a950YIMoB9IaYA9lwlOqtIWwq7s0N6
n3TcE/kGG8Nhr0XWt0KzcSuqkD1FmBT72AkJ07rB8djOjWEjDF5/WocLE0KVYpcQANR++2v2Zey5
USf0+TA3mveojXN4mjMZnNO8XlAYmrdSuutDyXj0oaGxMCAVmMvxMiQckQDyZpx0DO8NFecJM7TI
PIRWv1VsuP6wUhBkDN1weBZDxLgcCjWZaUErYzzYVTOgaji03efYQ7Nd77u0hzI82f9gvNI8hbix
b2yq62VlbD4qyGaLysqaYpXNOnqqUzkeXKzC34wwaM4FBVl0r4z2FAm938iUr5dV5Y00gkl/XDCM
5uVcccyZNCeWI4aINcHbS6YdchoYnYrm2/2z+afleZnUSQVw5eqktaZ6XpdDZVHjUbEP5wPWscg0
jjl4ol1jYZUK1M/svwxoZr1zUNp5Cyp3Rus/oTmyUwLReBRgsLsbs9zZ6J1eXyjSIAALkmZ1la1R
gIhH9QIYMSoqgcB0EDmfaG+Oxfz7/tzVVbyaOjwuWyUqlACu4iA8cVy3dAt1hbBFQQiqu9gD+qnj
k47vKNg0E4ADTCn3gFxnZ+7yGd28+z/hxoem6KJGp1iHGITa9H+dV8sL0I5NXTa1LdJnUoTuLBpb
PAKYNzceQjeHop8GBYeYD/L3cqg2MclCWn08GIvW4YVWRLq1j9oWxWdpjv3G4+dGMKRYzIPLBAmn
3nurmUUDX0IgWYIS0qgV+97Q4UujqfNoQlndD50Ob92c4xMsYfelXZrwXbjoW3zPW18Y7iwdIhcY
N4yg9ZzREDT0csJfSNefZ8PEJyamclfkC3qFuMGidGlohyyD308W03+6/3VvDs+5InjY7Of1g9fK
2iBKCRwHXU9tNCh1GsrpAC3aTewJvUTw8YCse1QeKmxiNflqvLXLN6CxrEhB6nW4+gadA7Sjn5rp
EA559aPCsfBkBr29G/u63ziyNyIkFw97GU4oVZE1qSXUe7czlnFCJiVFSgMH5fM4AfJG6iZG9cbo
TveX9tZuBnhE55ZOpk7ydPllE0wxU0uyverBmz45DHCA4dg9JVW8heS4FY1UcUSlS2C91ju56wXG
kTFYx9SsjPIhKlzkljBCw3jg/pxUqF3FI2oU3NtwXmHYrimvMpuHKiy54cradJ8wR7X9oESGqOy7
5WNnI3qN3Jbnv25Q1RQD5QBMHoggNbrVHpmNbhKaw/t6KYro6JaUZBHk7M6I/+tUnCfjW5ZgP3t/
0PVuYVCTCATNQaXXlrEa1EZmuRrqqfQ1F4Fxg2Yusniuc3Rpdn6J6tHe2C3rlf3/8bhQwayxabxV
HOh7a+pRdyhRWwqXU+WYwS520C8zk7Z7kMHgvE8p1WwMegVmV6MCkuV7Ul3nLlfh4a/gDpOiEZAC
Cl/rtE76sGnG37NVZ+j9p6OW4t9UpI9ztaDRJkwsvz+7Mirqs5ulzrc2tcYtOPutVfdcRRXXLZKK
NTm3FblTzLiy+hJZ/i/1AqYE6xwPJ4V2gfc52Rvhb31GmT/MM+gJvDSQTnBXpbe0pbScSKv3aV4n
H+p6qh5wtfKe9UiPt9b6xhdWgAbF+aRtiFzD5VrHVSTRBU5GHzSNeY4DPYOY5NiHADKqP9h553Ov
a0cwHLrvFiFOfZlef2xbm25mIlPElgpnPtaOMSo/Vbc6YEGSH4XR2e7h/t6/uhlZFmpn4ItIKHnK
rjF3PQQS3DLxo+Dyzb6gFxW+rbICTX/cP1GiHsPxe11Gwkefxv7o9UN3TvtgK37+GeXvYKN+BetE
ZV5XwJf1Zgj4XWTu8QDZJ0vTk9U5Yf4pD00x+1kJcvZQp3P9MdJb5LIHPFWEj+5i/rk3F/1rOFSG
eajNvHoZpzn+SdAVjwulJbzVsaqqEREuh6/kBcFHC7vVjW1141N7ELIcQBJsLH7/5acuYyTU0crq
/BLd1KdezFgtDvHwJKqi8sEyFo/LkuYbYXJ9CbBcCumraHy8BK6I7SgR5I3bNb0v3QTrVZyHv5QY
51QbgfHW5iAGI0HwR2uEzPRycp3AxYaw2flO2aPujsBt8b1pjfDFRRP9bSoRvDznNY7ASsO3OqKg
HT8HelD8D2tMe5XSHTGTKoE62n+FLi8v+tR2q96vvWY+WaPQn5olwmPKFMlz0S7/6YW1hRu6Dk+K
v6jTt+byc+lUXY45hxTTQiz3/LhIsoesj2bMLZDa28/oOPtZFJhbD3b1Fy/PAPVQwi6vHqD4qGdc
jgi+30G+ful9b4ozFN7m2jpFEU2dA0savdMjNw3wGTUM7mBwxjWQvEh/qVsZ/KOlvf7r1YHBUXwA
clVFzwRgeflz0n7Og3oeRh8H4OjfOSREmEiRnrXRnc5O22PuXojhTZLitw3EKt4hYxR+v/8j/jQ+
12tCCU+QDXhIiqybz543NC3e7qPf68jz+dWCHOfeyAvvafYcKIkLMobGAcVbOhnSapr39TLP+a6c
Xeu9DG38sQycUjEjQFTze+BgC6YUW7XpAAqm+Y7pEdL3DoqtD2ncZ+N5aNI43adWZLQP92ei39hP
vNWpqXHzOCoJv1zOAVs3TMHq0a9yE0ObcmnPuTtj3owsFms3o+EfaSjqIFuu1KpiHUdFZbiDxh9m
u6GIlRhXXD7Itsof40hUPvpO1fn+r1TfdLXchk5JDGwZYQU9lcsfWSH61UV5P4EsLNpTg1vOrsP0
zq/TUvsQB/H0DkNk8ZBjPEvROmk2zvnN4ZWSi8JHEVNXZy6STjJ1ZTj7TjR0025ITDTxZtnL4DmX
pebu20Zf5n0YZjb2EBY6yTv6WIG2hV6+cRLJQsmt4XKDhFkvA2JUGeV05HC5hSqcjYsliZ5jve/1
t8OkSoch0Od3gaUN3ysNXPqLbWBLTeaSe4+4nhTp2YlMxMmicuznXWq5w+Jn+gLdup7rKd4NeoH8
racVXrPHKEIYD2Zg4+cwUqyqHywt1v5Vkl7drhB4oyHYY6EAPAYl1tH6qCXnOk9d2q8DWFQDTVN9
Nzd29BSOGa8p1DJLEzPCOjyjNdwGKKrObreXaOVDFyiSxmfzBN4OqeilfRw6p/3X7abqSxMM1gd8
etP08xhY6UNNLajeOTNpMWxmqzrN4L2f5eAUHjQLIf65v/OuszN6orydgBt6sMfWGdMwdx4GGBYH
3ZnjZyxQaJqULZvcKIvj/aGuikwgS1RTAmYVUKvrftDoLZ4YRIBCrmfQhdhRoWyTQ2VW6HAg1GFg
Ay/MKH/RtRCpTG6BHmfpalrkT71tavFQOH0bfWIroo19/6fdCBIU9aBCkjYCG1g/0YvY7uu2NTq/
R3T9Oz6RxWFytfrHOLRfKa8uh/vD6dfJC9U817IJ9MA7adVcnneewwLchZH7aWhqKI6O6FLOWE8L
mRxwqsn6o+Rpaz4GXVflB4/7oDkMyMPpaLfhwEM3wi6HfT4Ms06W5UTarlrM5hMBtR3eDcEUvBvy
EVfw+z/7eq8oOgp3pa5AFkSry18tvZh+ebakfuwG4J8TPLaPfTOOTxUeCVvcohuDMZSCJKkclQTk
cjCQf9ggG0vp63otHz0sJ31X5iU+u0Dx78/rRrrFJUcSrAIgHN+1iBBi3Cos5aBcEaB9XvA6+Kph
FXS0MidElZphz0hgT0dwBeE+jeLoM/VEd2MPXu8JynKCohxSdryU1gQAibdh3jve4ttk1z/zMZCf
Jq/UDNjOlfQ1LCWHfRfYpdy4e/4c8YvLB9KaAVuVx7jB9WOsbsioNPUhqBMef/ivdY99KMRL0y5p
+sbOJ5xwoqatkDmSQ/I9iQbzezEUySdbT9GtFtno/kIONXpXpaRyRzu1F8kdj0H7LukrHLzw8GzR
H5PzPO6sgECumTFc/7luQ5zI8DqvcOrNbVyfSgspfIfC1E9L69xvZYOb3oESUr08xrmYPuD1q4zC
nb6qdjW/7JfTgH/GKm3AxEqKMUwf2lZGn1+7N9TLiMYG72WAqFcww4YCxRCXruUPEY/WJvQMQJui
avSnNoniAIXUuUDOB3cvfbSqxyTuRfREi7X6dv+HXG0PvhIfiMYDhTWJc9LleZhzPbIM1K/9AMdN
XInLvHpoulYv/XTsdbnrRi08ulgqio3Toaow6+0BD58uNsVTdQ5WAxc2vn0oS/uTgSsKAAXohShG
hIV2aHo7/YyfVhLuB8pK486Mpnlj3ldxQFEqgbCqti/U93VJMQ21Scchi4dnhgXA7NrTp6Sggrq4
4Rbu/sZMKYBx1jkMgKjXyBbbCkMjKprFxyGcnYVt+4wVnDONftQg7zxbvErQTjWplwRb+AxTnbLV
MoPyBIIILZ5akVh93zjGULZCL9e3qYnhYqmPJSZomE49l4FeuIcpLbTigCuafc5iTNj21oipNVls
kkRnLho7RXJWiOlhCMLxyRLzMoMWw9/MjyYrGHZOk1kfQboHiCRHS9IdEG8PjrnUS3HoRInegAvG
v9qDRa7eLsZs/wOrClPEVK/D31UwYNxbsy7hwWjyduuQ3fjIqjCt8GesPwXIyz1mj3pl9oGt+57b
j9Wj0HT9v8mUUfPSR+EY7jxaxOExsOXyYygwrH3ThSY1G3qgU+U39SxPedvgYomW7nLGlxvx7KbI
qGy9+gwqfCxtc8Wc8a5a5lVcBMiSG77dYmm2M+Nmyfy4xez3jTBq0B3h0EMlcA0cBTZO4XXyxLFX
PSJ6n4AfnDULdZwk3tR1Z/j6WGgLcuWx+3kYuvl3r/fExTQe52+utaS7em7lC8VchJDswUm/02Cg
ydxhGH1/Ma5vTX6RoiHDFSEwAry5/GiuGQJuEexYupPxh7IY5oeFm8LATjnxzjwcy8eOjOGwFFX6
3huwzltasryNb/IH0rM6OKjXKIS0KjKi53n5M/QUQ6Y5pi2aFkOrPVZC4DAJwmuoDgB/g5+VDHFR
wF55OQ9FY0No7aAb7ERfYQCkBVH3jpDWyp2JLQudP4Aar+Ur0xNHJ5MMwzQh2CINc/kLjR4XEJjo
lq/Q8y+lO2PHLhP9Q18vxecsq7If97/MVTZL/wBNDzIasjQSzNVpSuMAy9txMFGasoJiH1r4vSWa
ln6XmE/PO1lQ3dr4CtehExYWBSv1HRAUWYfOsUTXIoSq5je9HsCZ9JCnFTlmAhiV4j+RJHN+wLN6
OWJMsSwbHZMb8+XRzMh/RHnpoV6ub532wCpi2/KrfsQd1uqCf1ve0KjhL5mAeBMDMt/Y/NcBCywL
RQU6Jn+kXdV//6syNixIRVt1aOPzl8yPlPL64lBmjfbUoLOWHl/9PZVeogkUyYEGs9YxSUsjAJ6f
M5jbU5duSw1Tgyx8M+OX1wCU3wBcrpcToCw3PfIsiOTSGXdXy+nhGwZAuw6PiW1qH9DcCB5nzZpb
eEuB/Rh1Go4M9ye4zm3+jKhkBHhyc8Wv+98F8uo1PUXNJ2Q7qHg54C67unwvBtw5S9pt+9btvdP9
Qam085H+jhxqWKC5SAHTfqJGtJroYBSBnJLQ9Ws8eF7IYrGYzKZ6+qb3cwYPDd/w/ywRaAnt/5Li
TDot+qOHUnuHwUTgTfuQd/U7kHgx5qQ4UwjYoWX6gCF2hNNOP/GML0xAsXM7hx/qyCw+OlUmEiiD
af/f2PbFCPYwrNLdgFb6v10s+q/51CEqIGyEOXbEzj7ch1orMqwFY1iaJVXIl8Ut618LWu8YCfSR
PCq/bPHYJlP/aBS1xNppiKN/orjI7V3pVkobDVffau/NIzX6Eh3YvQVHBwk8rVqwf13oWPO/2+Hf
0OZGO0ydCIeDyjb4U5E3/WKX9ME+X0iu8eTKzeNcduhcRDhN/ErR0epwhlFmr00wT4mfRgkTbxrM
Tw9B3WrvvAkrCD+YZfI820O4YEpbdA8eAJPCT1LLy/eOZiY/eSDoKcbQFs6mE4r3n2mat6Uf1EaF
NbwNZ2Anx4a63dib6RsNzf/IL/HpQ6UgMwxvh8v9bO9avAuM3dxCGX5BaCRZ9r1RD7wSLBPdqJBS
JdKw7fI+gG6ofLsHLcRNpVDZHiZIGK4Gtfl+GfvOOQ4laphO65KM4d/Yfiulk/7qhpLXC49etz7n
uP18M3JFSDbHuX7CfiTIDmFIoXbnJHr0m0eFXhySyakMHGQnbz6mZuC2uxlz9+pQ82ZG1h7AwVfZ
Cz08J4VIzoEhx2I/67nQgKJEVbDLG8H7nqiCggl2cR0ye3AKZ6BAWfRIZyQ0GY2WIdaBOLl+mRtk
wHb9QG8G+OtUINgfevQWEwOf7gez1x10az2tkfgED5PcV3Y+/7eIoOFf4xZmIaMfZ7hw6+an3umX
30kQ2P+5bYY9O2I2lNycNJ4ORMYheqaKm/6T2Kh1+no+OjP8jiiGppRXzs9yhi3uz8Ygn+vSS36w
cF69s7WYuLxxkK/PMbc+awkJGADTFaOgVw2MZPTyo9HTvtzpMw5GuyUaeK3Eg1F5VKGhOPm8favf
Ygpxdwu4j34O9QDZxmrH/F1cx2F0QELQPVcw2Y195LqLAyYaY+eNX3sd62wo9dT3eUzx3l83oe20
zWMzqKojDUDwj3ViHmMpx3/7LP46gBNkkuLT/QX6o8VwGegI4+gMGWACqVusgWulqxFbqqY6CqdH
D9Ysg/I8pbUo/QpEJoqGkY7FCQqOdu5bmjIztjXM2A+F0YFjbGejxtEjlNmnri+QmHPGzgneOvXg
nMZgIjziHQDSOJCZ+xm8fJYfnEmvK94ZDh1E166zdzGmy90bc/YW+hj40x9aSTL/ARc+M36LD8L8
rBWWHPcT9rXv01zDFIU9mX7BUST8Ffah/dXOOjc+xJjzzo+pkVX/LrSj+kMUdlTopdtR2BVDRP/G
TcLiBUO37ke+DKGGNTKahjvsibtPc2dZ2algiT84mapXeHqatwhGF/Irl/04PNrzLMZ9T/v1ez8O
VNBkMsZvcOrBmtFu8+I3zvOCQjIQkYpi71wc8HwrqRviQHTKMSnU9hqsNap4WJPiNlz3YQeLOhi+
VZOOZF5kAvd50Bunj06xnoH4DWsv+9wtTZmexgKvyV2nB/nWG/5600EHQROEvj91dS7Qy3TFnq25
GOnUqk6hOOIlSSurpSVud2jYNcKKT9lkNa/MkbheWQbVK1XtZaAGl4Nard4qLeH4KPC9PAHBxYQS
nbDnbhHT9/s73Lq+yWmHUh0BJ8kbaZ1ANGGYZmEkomOKMwsNG8senrXKqV+pLsWMaEsiMYsYoCrW
rRJrl2YRfo1deDRBMei+FqbBWxAPskb7DOzMMNfx20Z3tiAk1/GNYQm4dOqZG+zhy4UETK3Ru4mj
I2IfhS9AyJ3zuTdfKMS0L0YQ2VsR9Y9swmXAoP3IaNBtqPNeqbtJE2mu0DIDH8SibH/0y9R9p/pW
Nb4Xa4n35NZhdM7NQoSY8rrlt25AzWwn9MbU910dBNkXiQk3Xo00b17SwjO6s11iQbwfAswSDkbY
atW+7XT9s+7lBiIr9BN/xgAuEM2qppSaIBAEdzfGlY1raKxR8EKzz3zSOBrDLiyW+S3lYQvnl8Aw
CyzebPEMxm5w6UtlmJFpoh41eJR5cST3X5JdjlNNuctwn8FYLBe6szeTDCdDzeDFHGVd/9VBpBMj
21rh7+glVjQMxdBhH1aHqeFnU4ivYDJX1cfeRoDmNMWdh/CMF+keKriV/gP7lCbaTco6kf9fIqsd
Xeu4PQir1kceQIUkFQjz8KlJHb3bYVSPqVxVGsVLoIe4MwhFCkG3J18Sn9bHOJ+4ML3/GrChmEfb
dEH2S+ilP2eRFW+yyhP9+f4Z+qP7cfnRKXRK+v0u8DNy8VU6LGt7CnQxpMfFjBCGJGIkn4DMakgz
2DhwZTZspaZHTaiPSv2hXbBbh70KzyQrXTuhwDQK8It13P0qChPTJcxDviE3HT9glzp/xHhGPnlu
M1OKEmV8QArJRfUJ9ZoiDJEhcazpJQvtYj7kTfB7Qmz0/zg7rx65cSZc/yIByuG21WFmPDMO43wj
OKwlUTlQ6defhz4HOG51o4X5sNj1hYFlkyKLxao3HG/P7y8iZDU/MHUwUeEgOCCrV/GoLRaMt4dA
HC1hJskeo2WLF4Zud8qXdt57w9R4eEkP+R3x0gJRjor1J6xvlvJkJi4en43WmN/7PO/rx8FqzeJ5
UlcCqC3SfF5kQ+U8RYiCwgvXC3Ida54nc2dmRTEe+V4D6bQeldgfD3H/FCQQfPd+bYk5LCbPjznX
mvdf3+baO4QB3N+WW9RblPnLQALGG2sLgqSS81nXkKYB/7TSnrOjM1Xlw7xADBIxFeQSHvqJul68
cQNchmXGQwCGKOJiDL0u6w1j3g5D3WRHs0gS46kgHe6eghwb09ufdv0ah4hIWKRErWiPqMKtvqxj
xONSsgePgzCCJ+G11THX2+7t3JrzRh3uylCKtacQI3SKkIQ7j8WxSJVw5JQf4RrbJ2eJmoPduf47
6jDaBpj2oiTMtIBNq0IONX8a4qvrJjLj2Sv8ND1iZi/rN6V0k4eY7n/wPA4TfReXmMrDAm9aoMTS
5RWXpzV2kboz67tsccVdwB2YP0cCNcS97vTWuyDLJVFYAoXbs1Pa5KHvcSDct5oR39vu4PwZzEC2
O9+Q0YRHcyA/N45dxLu+WOjszDSkeyQluvbTXHVQdfOJwudj1EFT2Ng7l3vVVQwa1ZQFrXlBVm+0
KogSHLSPmq5NZTiMgQxeIk/T3mj4QxLi/WHcFB5WIe48RFB+JgrC3oHHQK/6/OumRW7oHU6oR6Fl
kBq63jFPkJacN4XU9Acr65y7IkWCB+NL+R+WCPMctn7ahoFVOndBbmCV52XVU1suJi6Yg8tjLyhy
/WtrKAaD2VnxRtC+ltjhKgHLT+HbL8hGiWWn7jL4+ZFv553GHu1FstB93Ti0hL22eNN7yZZU1uUR
CFDt5mSTCvHP+gUT1X5WkOK2xxEmBC7VmeN8Kr0cRFhNK+z2yb78IEh/QU0BCeYTtNemNfag585Q
dRjKL3VwIKM8BFWO/6pwyLaK4LmKdXRHIkv/dnvciznSB2ZmiBQ70LapvJ9vhNklatXT2Bzb2f9E
fUFQ1bczvE4Hq/lwe6iLjc5QdHuRMAEeQaBdnXLNnwzoREZ9XJI5+8/Cy+ZEMan4Se+f6owXL1t4
t3WnCVgX/F/6TPCnaGmua7U2IdlvuwpZ6bkC2xkVnYIiT8bnumvGU+EghxEgmsDfc2E80HIsj9jj
+hvR7aJ9wM9AhhHLL0qo4C7WoKMiH2rpFUl7TESq/RLG4KMIoLmH2UmmkRrZaL+xK4E/6TT7+U7q
wKFmv6w34vnl6tPp49wA/YNidQEPm5U27+Is8qjnxvwkEY/YK23gewPpO51foYH6u/29L7Y025lH
AQZM3Itqc59vLWNoliJK0+4YZdVyh211cAq6RpyKeFqenAAyA9qNS0iLLt+gBV5uanT+aaQC9aEG
cMHcH6Rlt0vdd8fUlZmx6xn7oXJ4XJMAiS09u4vIxDTpCbC3Qaqqsu75NDmz2oy+cHf0O8v6AbzA
uOs6vYJ+bOJR35bdPSTlbGNtr84QICfMEwA2ZHrng7aDRYvczvujTwFnr5txcmjqwLzLcSXZuJ+u
DcXthLonsuxAp1b92jJbSObNoDtaeuLupBx+mKkcvtidF7+7vWGubFG2JhKU2MiRvK1FaqwGzYp6
NEkiE817gPvcvxdS/5mIxO9B6VH4uD3e5QYFm6QuQSKuZZG5nS+iIyfN6+ceaIM25r+8KEtCb4l8
d+c7tH53KMNZLTrxbY5gteO/3B78crKoNisPE5IeYv66VJWILuhBHJKiGrl/Sjj2n61qKh40IsW7
vFv+h+E49WiCBAr4tca+8BBqp8Eo8uPSLfaTveBAOzX0rpD3y76NQ9Mebk/v8lRQDuAzAoL7m7Ku
do3K6IakdpleB8/Gle70oJcy2jcSho/RGdqbcrK2oFTqg51lNRhD8PBR4BGAAPYa41eQfUzADrk3
5YwFVoFP8DxiR5W1DYodU6W8RpTRvF3lj8gOxhtzvjwpDM9mUjJ4tLDXhKbamwO/trscdJCZvdVq
3wsxQUU6hCbKRjS/trwokfHIw1uMJ6z6+3/acnHrmSN1u/w4TsbwWGa8vyKIqU9FUvg/y9wfAVKO
wcZ5uWjNA+ADDED6Rb+VfvgauQUIx1u0xcmPbjxW72NR4m0P55Fq9+KZ985iTft+TCIaGPaUP6W5
kGgcBs5PHyuwcPGF/uP2Jrs8wGDZKPZi9oc0Jgt/vgrAueJSjmzqoNCrd+UcaXtp8SQwbKQ3Cr9L
Dl5nafugav1Xf2oWHio4GlNqiwer7Z1gNe3PfQdlps6yz0NHRdcxK3mfpv6WEtsFrwqdDz4yoCB6
+X/31fksnd4gKcFQ7Sh6L7hz8B1+pne0vIMirt3lg2O1ODFL/zgKC5KIE0Fzyoz8c17qW/CVi5jF
L2EPoONCgV3Hmuj8l3iZ4dWFM3igxcHiVOb0kS53+n7uYp9uiu1sXOMXn/evvJVSwFCcTjAu58Pl
At/L2HKnI4SA5gMIjcd5MOyv2ZghDExP851dyfan9Ezt7va+upyncpZTBCv+QxhTP+yf08ViS1uI
BYssZDuBv/EQstO2f+tl8Y+sNLdQsteGM0AwkLIQvjhi58Olsz+jYFIbx76rx10V5OYpagvaUiNN
nkHW2q/b07vMSKlmKmlXUPjUkWHerwYMSn12tcU46hRg3tnBKN5KtDlOiG4h1jDnQ7OLApd3ssiK
r3NSTGGn2/FWkeaCewE6GggaUUz5dNK2Wf2MGPX3ovNb/dhJJy8/dVXQu896LYyv0EKAoAWjk4x7
Xly9vWuQCDl2WTXXjzQCYevL3Fo+mx6H/tBElrHstEYfMe0Z0wbA9QzhZteVjduHpWkmRUhYytNd
iQ14tZukaMuNLP9yr1IgVkwmFpWXxlpBOp/4TU43GscKfPkMasnzPs1AvN5mmhvdWVouDmmlN/vc
RVPx9udUlZh/bz2cgwx6D2iicu1AgF6hbnoQA9KY6QBn6DOEMRL+D6Ieqg2wxPrGUaMg80OigiwF
OefqY2GUY6JLoC9haZjLL+Gl38vJzZ/7NNCeKDbTrE1asRFlLy6c/zso3U64UPDE/FWYHX3snvsB
YaqYPB6PKVTTvlWR3+wnOzY/YtWeHvIaBmQIKCx9QWbf3y3BXD7bZdWe2nRoNgLD1UUgeSLz5s71
1xegPbkYXgUI1bEdibNeD/EhYb3QkYn8Cg3twTo1gFi2Lt51YsM60KVDjoxslbfs2u3DKaK2KqN+
CbUU3bYIDdeTsr38WNpV/Fs0QDYE3lH7btCnE0zfkgZgE9/neFftXCrNz0C+mmMQgRy2vbK4M6IB
ZFbR51+VbtUuzv1k68upL7PalKDlOOGEZa7ntYq0qLpJR81vClu79x5di2Z4XPReHqKfD8nEbT34
F3mAGVOXjEcEONy9A8jj4JlC+wh4koSmF1uFxgs6glpHhSkEQUfYIQCeBz5DqygaxaaCCfbjdzPv
Brkb5wH3oKXyH6o00vR9Byw+3ieapJRop2ar7Ypal/cTdU9aKjzUcY7FtfOtlpfZ59pNrXeUBtNh
VzrAPY63j/Y6o1S/l6PNK4/nM7n76tANQH3KfshmYHRp926kBfwg/aTcS9fdSl4vLoW/Y8HI8nXO
GeWu1dqMuUuWlgMNSYql/2hqXvlRw9TtKc4H+bOJMTcBmiXY3nV6mDV04hbp1uHt+ar5rHcND00F
U1IpxlpIzY07AldvT8glLb81I6Xh1+p5g0yJSL45ZaZvbVOVsawGVFkVpS91B8EJON8QLS9nKM/E
TmuRtPe7GYkMygp39D2zlIuCx7VbZd49R848FQBud6hcz80OhePx/avnbvG5FSkOsN1FFjAERcFp
bpawoPHCjPtlHwu7fND1bt5ruJhtPCH+kszWczfoVvDQhgtBH/R87hqa1xHjoUkroubeHMFUPzvV
1NHvhwgqd34XgTLMtY4EX5ZSuHgbWfYP6UAj3NnOmFmHzBItqneRNv8chBZzwcpkmHaetWiniXCj
nWRrt9+NerTfx/lUsGniur933N4ZN0Lzla2jcINsXgqZxOZVEhXPXeDk1TSDrCgRjB/d7Hn2vW43
goHHjjSyX9ki57iANKBDDpeRDGqdIzYSs+FFR2O28bIfMhj1Y2HQ18xxrNibRU6QyJvl/vYWuQgH
1F9IR9HKR52DGvHqpm+WGFyYZpf7WNr+m2EpYAD6WXyHJnq9cTIubjo1lCoKo9zLY2+tk4Ed/bhE
ms9QZqc9mv40ntKynCGuOe5eBJV7WKqu31jTq/PjMQXUmtsOhtD5joz8lEc9tpV7gCzND1rTyb5r
9fLRj4dqI9JcJE3ML8Bzg+QTjDuf8XyoVrD9J72t9l7lVl+F7WuhmwKK27q5r44D5B8RL8427Yvz
cepp6MyBn78vomh5oBhC3SVgYffZkkYfrSgrQ7Sh6+/uUAxvE2MGudaRb5duYclD1HvOr74Z7GOG
rvPGClwcGJwi4EOBZKZ+wFW9el21ZjOaEc45VA+t4IVH33SA6jJD9ZyD01CVxkY5/srHBUiMfSf4
XvqKa17PIFnptAJI1FSedwSJBQ4tAMEeL8HWx702NTbt3+lxRNdRPUvFDGiKcxJJFNMNAWazi5M6
7KsuP9WzoW0s5bWp8T5X4h9Q2QG3n39kM9Kz3IG3sJe0JV+SIsmhq9TNG+n5W4Xfi0yQr4Y0A3MC
Y08PePUE92nQ6zYSKntoSHO6H0VTHEQ0WT85LNZjl0z1s4nStnZsNEcc9Kzfko5dP3S4m7gmQTsh
LEMyusYSV70eeVFZoBjiNdMTuA7tbdkWzV1WR+PzMk/pw6hrWUI7cNoSMb9M39TYpMCqDMVxWvML
eMtWveHCWR1FX1UH15ZiOMHXMFsoolZ01yDZNj9QiaCxi9Cb7mEAXozF3QL81v6TLWVz9Aw8up+a
Jbc/NTOlWYzjtOR77FpeH6ZQbjZupSth9OwXrz5XXJRa3PK239ta0L147jzcwy0TsF5tAIPF4r8M
Nqn57Wvi2qA0mjhoPBnYlOp4/FO+cD0xCd7C1X4IovTP3LYRLnkZejtFN74FzyOPMYiFw+1BL+gp
amOwLWkrE1ShyaziCWoOlALxSNgnjREk39Igx/Nd71CXf+OUVcZhFIC59qgZ2vd50mXfu8Xp0wMk
92l6N7YaMmlZ34witOYSnLkPOezl9k+8tnVZD1Id9ZoiWzhflyoXoNoS8pthLLyj7VfTwR/05t6g
/f1nkEDj9Qblfb/O640vci0gAYwgU8Bjhot7dQsYIsWzZMYRJfbQ4AMeg8oMH8L57FMJfzsbzY9X
z5QwAH+ZdEjdcau0tlnIhRLA0PsuaxCe8230iIcqCpdc6odiSn5XuiW+NsTQjV1wZaJ0NFD5oQyh
dEZWkRCNnVQ4FGP3RRy4oWH3xb3MM7k3Nc0+xYY9bdyvV65XFDnpZhqAVMjkV9f46NlNVEUxC0vC
Zx6l75TJPXorm9op6gudJcsQJknPeYDTogJYuhqoRh4m8ke6spGlkK7LLNzTIKPucWy7Ed2aSTs1
Wp2FUUJDdTeWsn9yJwn3v4wLd0elItmNhine3/7OV046gAj1ROQPtvTqO4s5iHtIsdXeBvz/LM0e
lw6gsXdlG3UfwPlaj62oPt0e89qSkw3A4FJtFq6781M0LllulnrKK2Hsyn0e5+6TpyXNRj3tYiMB
4uYlilCBCii8gM9HEbVtjIU9QpeOhXg2jL1AK0ooSLI5GHIjMFwZDPkZJOjAQ/KJ11qRqaAsqNHZ
4bOWaQgsXCAVXkFFnaT+IIEn7W8v4bXxiEDQcZTxFVW188l5tdmZ+uD5YaXTnSLBC070Rd0n3S+b
sEnHTcTjxe4FWKWYeWxgsPjgnc4HXGhQeOZkMqCpQefR8sT7BdBkig+do2kphKe2SrAGqDuq+jHy
YAksDDM04BkEB+rR1Jcqs7UOWpopCDCx7OikMimPXpElfyYgnUFojjEGSRbyu7s6rbPHMU3r4YSL
YBfstNirt1Q2LvY+c+IhhCgImGvMRVb3jRXHXVnWhR/6jgb5zQSyj1wPTMNDOdfmySiN9Gg5m9p6
F7kew5L8UKGg5USAXEW43JKur0kwHMZsYUzboMl9yvrSAk5hjlvuKRdnTQ2GpJ5D/gFeeB3eilkf
bOEwmF0MTnLn4x+RhB1q8+Nr4ygDIQdCgRGBSe7x1WLWGo/3RiuCcCjBudq9O36oKqf4/Pp9TycH
aUMVR1nG8204upWl5/MMkNj0+g/G6LMhJd4YC4Jq932D9tXt8a58K8iSMPyoHhOr1u/lNpED7LMC
TleZUW+UZVc99sngGrvKrNqftwe7sh+JH6zd3z2JlddqcjCAUpFxyTqR0T0Z1vxnsUaxs7Fev8cH
pHjM2bIb6eWVQGKDyzCUtB2FzXXXYUYgjceNE4SVP0CYmxoXOOTEJWBa6c9lMLegxZcFefqdIBbo
/9LuUKzQ80lOTlYvFUVfrGC0FFJMUYQRmUXYyIIEL6v0Q5xryaHHwiKcWq+BmbsEJ3dshzukEF9t
nKl+Dcmc+jkE7jUKBgEjBEPNJFKwDXkqhgrSnCrsYrjzlVw+Pd7+whf5I8OpHI7CD48PCk3nk/d0
HCXxA/FDrYwc84E823vOgnF4FMhp/FzsRb9rOsu/Tx1DWhtjX9tdECxtD7MH0p117mojmNIPmC2E
ItKM0Enr/LFJYeGVRdu9yEKMH8Z0nLYI3X+7OmdpD1OGMcoOA0RNp321qTs6CAXqTFFYYrgyv0GS
JpPfoA6VnKZKm7oqhDs7oxOAmvZ7vwN2Ho6D0f/SFpxMAFpo3gSpEIrmyfcQ3sKJM/I/RJE5IgXM
66c8pQnt7V3Qx30T1oEWFHvWFo5fE02J+XMp9OSjGPqS8joQkiG08SpIv9qoAh1qt3LBVsgoKN9k
2tTmO7FALDz2GLOl7xE9G+7KVK/GXdsVxSc3choqlZYf5RuNsatnghRbqfjxpuA2Ot8Wsx6liONO
qFa1s4tmBmqNuINXxUMDlHffmUvxHX0bNL1kUN/j99XtRB2ML7lGa2aXx3PtbQTzK1EBzAB8bdIL
FEUusD7Sn4XsJhODilJ+WZrRVVeiGN6IKnfCbKrjeKO2c1GVoLr1/0DMpKIwm8+XoCnrphoDYYb9
1NmhXNwpBDBunOYCqOVu0HqqzKLGgHpHEtJS30vh1d4+nFcmzZODLJjsHPHita1s1isMftyYYcGq
3NVWPDNkl+vBobUt+SyLGVrN7SEvrxeg8fjMcOzoTgKNOJ91Vc4tzeXawvukWh5HnKUwo+9yOKNy
q/J7OTuA8ZSaGUQpxK+NB8zElLxsaHTmYuRdpZfz0ZPip/BFejAN8VoBLAIq9HtiHV5mNjnqKsy7
2qhbKf+GwEZRV5iG5FRjYvV5Nih4v34RVW76f8GxCDqfL+I8mG1c1S7+QJkXZLupSuVPKUvXO9Km
gsR4e7TLjcojEWETGoBcF3S0V6N5c8q7IrFIGjMq6JXIf7oyGMQuE4Z+WtIk6PZ9psERNrK6+mnm
o7Z1aV3mdIqfiL4qDQTU6dfvp6C1PRnbI3DfutXfLPlivbBp5MZEr20YdFvpnFMGwMhR/f0/NaDR
Sdu4ziEdialCl8qdIwtBb/jLJVWnT0tA0L29shcwJbVnlKACmhxAS0AjnI+otw16WWkBe6gO/Opo
TKY89LLzH5ykA6pDOVELczcr8MMbmi8RjQ6eHWX0Lc4b893t33LtYMKQRiSFXh3PudX27eZ+aKYR
0mnvJj5O5kVyl/aufrKgOm6s85WhMLJRBYG/RrHrp9w0W5bmQUkJI2Hkb23hv/ASjx67ePp4e07G
tZGI6BR1EFugQbuKsYFtikGI1g69qS0/UGqrP0bkPzUZwZwiXwQU+h3gBHs+ZE3cTbspbT25izto
S7vE7bRol3ilPMSywWDTceH2hUYDS//155k7EJEShXc3aS6ebwPf1PQuH0Cz01htrJ0AonBEe6IY
UY4wq/3Goqi79Tw/UduN5wJ4DEwXLgogDpoofSetsNALtsOuqg257FLfWJIPfjbbcCZE3H6b8oAe
ABo+43+FT0MSm8YMw257rLY8qS7b6Ip3jI8vUZo/+U7n86d/1epFKzAYTJL8gICC9VvGZnFsjET7
1cO97CBYFDYaVj1PEgMm9XFe+m5jYdTVs1oXAP2EbpUg805Vm+mf45+Ui9KgxIurGgeIiNgeinvk
iUSziwMNd/cc7cVvdGWLjQ7etV2qMiEd6UvsAwix5wOnKHtqkVfoYVTm44Nu9+JNLvT2k9PH8wNV
0PY9sNwqTJqFFDDXYvP7oOvVXT7hCVq2Xf4C0qf6PlZ6/uBUjvjv9n65EnuVJROCwxRhWZdVqubb
CKAWFXaWbr20BwsZcjRIWjfZ0He9tgl4T6OeBczEUySE81WY/ahq5rjGna0xXVT8RpASbQ+rYxfj
3wV/3p4+1rzcTKUvob8VC5Q+JGDjjdT0yiVAQwqCl9IiVfXg858xuvbgeWmLJV1UJB/xXW2+2Gaa
fkaswX0zgVfd3V7ea7uO+wbhJ64drtnV7WqgnhPUvuR9Aln6bel78UHil/NgBmN931stuC36nPe3
B7265WCwcejAaqIcpH7VP3t9ZDb1wospdLnyfqg+2EM95vNHoNjlqfSXPEWqIIr+uO7cfi3oC9iA
+gPACrzP9Wc7ntx518d6AUrA79+PRSVfX++zuO8BmNAcVxgFtS3/+YXVQruJyxq/Sk2Pj3Kug3cw
5NDcQ2Ciee/ZS7uxz699eDYfnS8Q4sTG1T5Ps0COmFQb4WBWcRZ6mNK+z2DsWUhWumkTmsOABs3t
73DtbIFAVFQRl3fH3+bdP5PUOk+vcb81Qn22lxetTz5bdjZ+uz3IlUuQFPj/D7IKL1mZ+PVE3yuc
WyhUewhtC1p6QVwWKGP20/+yjABkXQoeqq27Oj/R0nLrl4MRojxrFQcegXI8sP9nNAkb2mtdsqW7
r37/Om4raTGsgynV0sQ73ynaYhtaWeNe2aVmcV/LOXuYss45yqY27q26/E3Jo34owXffvX5h4WtA
X6LAASZiNXDQiyXzOoRaQARDAMWKHNHSdniGQNdtbJSrc+QccC2RmEIPOZ+jACShuUT+sAviqf1m
FEY0Pk6iMh5pLJcWOljISB1jPIHt0DSmOHp9hkK+AHsBiBkw73UVUlS4qiU+j1UTtatjPKP/0upL
+a5B1uFwe1Uvm6LIP8NIwSkIWS/XWCvU1fTKqqQpzHBx3Wl642IvNr1FsW2MQ1RgWOQmsgEzl3rW
ak/ZZKN93nYlj9h8NjUQ/pb2M7JnA1PkPpGfE721t/QWr4UKBIHp2NJP5+W+ChWAmFIM3iIjNGPo
ZLWR4hWCD+1j6ue/obstGwnCtStCUbuQF9FVfrQ6Ur0EcuJMlLAQvYbnWFifh5LOfSTz/OSPjbeH
At5v7O1rTxNqhLQ9+BC8M4PVHEvPSa3BIDSVSyvLL342JQ82RnDTAWBqDe5ToJyOL6wmdzItNeth
7LKx3GkJMMUdL+Wk+h/2BQ9RQJa86Hn9rtlfAA+Mit2nh4k2VdpJjx0seIE3N9lXAM1ecGwbr8sP
fW0t4ymJUwhwZPWC5Rly+6swsFLkbQ4+eqdPePwAezfirc17JaATB7hF8GeB7rPmrfamVvBa7nTK
eA1uEWlkHvPcn4+3j4gKLKuIx/8diVFUDfBVXHv/0VaVQzQ4JjVr17yfqsX5XEj5Xsc6+vTakQis
7ADV/ccCan0LB0HUtn1cu+gGjMUpjX0kiCiU/xDNUL7cHupylzMUPSk+oxpxfRcmABiszurcsPC4
8P1U049sJqwYNOgHM17nx8mZp42VvDooyEDV5wNAt1ZRaBbbgyQp3ZBrqaeA4VKIpwbgHwMUrB/T
wp7ug0bfkiW9jB8kLtQxQJJxSxLizqN5jj2NZTaeS00a/il3MGJQk+6cUBorTl5VbmG7ruTWEFHp
9CuAoKE6O+cDookzyoz6TtjO8/IpKWqa7IC98hf4xt0BBHH0ZKDsdxCtaT1Fkzd/7Kp567q84K4o
7CD1cGXJo4qA63dOogfWiBadS4ZVG16Ggo/Sw4nFNCBKALO72Rlmbz3E0pu+91Vivs0XpRnkRPCI
dqZwmz965frfnVLU/ZNTjM0XlBMQ1Eycaa523aBNv5vGxw0zyG3/IbWd1nqAYqJ9ur1R1WKdnz6m
QcWU5QQ0e9GJNpLZ7i0UfULPaEb95BZG6u8026yUi53EYGgGnXOUhLDskEkrrcKKGsWWaf1lpKFc
QO+R0gbCyIi2nH/S1nQ7PbLgCJqihTjpiPR9h9zHRt5xGWnUexhOuwLPUZ5YjbK4iB1oi2+H+jQa
1YdmqHNtb0/W9LNeeEZvXDpXR6MKxqtLqcI4q21ax43MYhfX4WBssvaBztEonhYTHbbQczv0CG9/
yGvDUYRC7AC5ViVndb6EKI0pUhfOIUuf+t9dX5QHrIHTr5W56SFx5Wuh3A27A98+5rUuefU4ySlD
C49HdJv8MhAI+1zH6UaecCWsKHlwkm42hnIXPp8P4GMfVCWDLHqtWbgvVBnmilMCwWdqF/e+QE3i
++0lvBZZzsZUies/L5jABAjiD6WHIwccKlANyQFxounYQ7b/QGUzfllmwxchzh7TSUyJ/mbopvHL
7V9x5UOe/YjVvnGidrGHmRM5I0p5yOwm3RVD3SLbF29JsV8bCsF7+qfAGXiZroYCO9gV1BT9EP5K
a6I8s0QP2tIQoLRp2aoNXIk04J+B35HxqDfianFrmoZ1kNfgJrQht051klvvbKdbrFNgFE22D1IT
BVm3z5bxznRHCLXAaqPi1S0bKnMGMGTexeAp7NW20qPYbulLs3ezzv0N0bP4waN9GnbCMsetF/G1
PcwB4fkNZpe6yGqwgbZ9CZWCwXKEB4fFKp+Nkaw3yfQuNP1ZbvBlr31PHPYYi2cp19Jqie04TcVg
CA9oiqcZe1QN/HFnpHoaAQEcqh+3N+rfItbq7uA7cnmgHAJHdr2WiKUBzpccUZ7r/NceR9mHTZ9K
MFp5br6kSzrbO+IVVjuwacrT0FqUXkoAmDletO+1aBz2t3/TtRXA8ZE8EuICPC/1Rf45wQsqbHGC
zi8kHlt+KuJ2CGua6dCyHeN0e6hrURA5Ipaa3WwHa7qUjzh/mlMDDVMxtt8FVfWHGgW1ZCOuqz2y
WmTgTaq9yisSXO1qD0XejG9lCTImcfBP3+WLp/9G0Rcxy16zrF2rFfp3UTRboiZXTisAPGALPNFU
TW11ndiVNRekAX441rZfIhqRNMeEvNI+4oa3xLt5dnGRMfU6/ti3U17v8rH3jI0L+1qSRbjAjFZx
sRUR+/xzNstUSWS3grCOhIc496AZy771gA3varloHxKtKNJwcr1YR52p5ndpkbPgLp326Ud9XJb/
5jyvvoGxZQGla9RpaEvPi3eZB3gr9PUOgpk3i/pea5IR2IpVi2AnWiCerz+ajnLv5VgqK8x1V0RL
U6sbGqX8M1nBnvY/Xg+5vvx2RWNsFJ8vzwDeIYwEZIMWJ/nU+aJ1ozVVQ9QnezoD/aOXokKDdGvO
VZKUG5vzMsAx1F/DZ9A3EBRXm9Povaye4xbk4CCbU+YqsWbfKk/Z3ObvQWpsgWAuzxxVVJVsUy0F
FroG4Gi8qfBHElpYBqg1xnmHtrcUWyCnywVUXpvKwJZnIjIe6lf8E0SaJS3zrockoqHqSqk448an
RPVs1X3w6m3BUFQB4OGrJ9QaoBZMg48N2kRjtALR0tZSAmJRCiW+VR1vx6urs1IDsXxgNdbw/Giw
Gm8OZmhOkRsd86JqQsTy9INZI212e6jLbYGi3d93L6wn+iDW+QIKCa1SJJkWmmaOop4InPmQatEM
Ysl7W+j2n9vDXTgf8uzUAQqTLFJfh1q0ChM6QqqolwHzWzLCyY62CkrJfYQfKx4CCFSi8a73qi2Y
QP+FvNYGctf3jv7NRwgadxPPmvtd0LVOA/lJyPGZlsJontBBww1nt1QNljMbP1khfM/DOl0AHl40
5lWvcF2gj0gkJQ0RLZyiyn1x22l6yap02jUSQ0J+2rCPA6+6c4X1YCLG+hSnCCbf/g2XIV5RBNAg
4v7iGbtGlCWzM9pUl1A9HV2MKSuFUE8a8yjaoqIMVpv3HmH3gMyveMw7yFS3h7/StmF8SkvMn/wI
ZPL5LvGSoByBgSLSn/kKAgY7JxTI4v82LQ3LBzSju10Ri+pbMhvth8Re0iNl3eE3ngItKHdLnhw0
aY9VPgzRQQQY6d3+gZc3L78PsA0KcrwbLzqZf0tyQvc0eniBf7CzKONdYCSYAyXyhNjEvDe6ot0Y
VKVo630BMMQGQskbFZjK+aLkaddiFo5EO68s50tUVxX3Uzvszdrr97PuLvcyTedQaEOyAbi/Fh+U
dgXqijSqSFnPR24gA4PXzJGLNQyUDYTp7YMi8h8sp9wqnlwZSjWmSVTR3VK773woLTHTcrZZWUjO
5GremAHVmqpx2o9VW2ztsytHjcHI0GBh4mmzhk7h0JzyL5dGbHqz/y2tq35Pm1LudTnr4pCbefwH
1ZwgOo422lQwwp1gl0zllmTTtVkrIULYDMyeaH8+68BYMpzN4JliQ5fGYWBMBm6QSeS96XynON3e
vNcGY/PSSkLEhlf6arCq84xIyiLeB7n0sPLT8cnZDfirgsZD2HoL9XBtOBXKOMsKn7puqQyVqTdV
C1ujCUagMFpefS10ILmIVPRfXj8zYgbJPWU3cpzVI4cSrowDgC+hZvNmzW2vuBNdigXHhOr7/zAU
7T+ldaUQxub5F4u6sUbhyorCeBIBVhOLFYedGIr/NOFu3ZnXVpD+C171CB2xiOrv/0k6ILX3Baaw
UWjb8SD3JYTy9oSsMraIhV/0r38oUakFyYxAGyA09sn5cJnV8MFGLQpNjNOeEnfMwirH84DM2Io3
lvHa/WwCRFV4PUpUsIbOB0tNRHlkl0ahsKlkvOE+7D9Hjqu9WLVR/lmirOlQ7GnsZ56qHpVyNGYx
cDP8GkWbZfol0UuPiIDxhIEDyQQmMa6VvZUYX/y+/cGv/lLFTfYhQxD17dWxwU5tTlAgUcemqNEx
yH242FpU9wfRePYHMjhp7OIlqd/WjZ7M+xkVxoMmjWGXRp18dlKULVNMn4nQ2BYe8H5c7jzKGFuA
git3t3p6q5cR6Ewy7/MVjTtUzsrZIZmLPe3QBZn3CP8hQCxjtA6UP+09WoL4OzdD5+zyDtLI7YW6
kuHBv0V4jQPPSq1pAHFajIEtAPSVXSGPrdQGkO9ci9E0PUMbea0eFwkeaFSuJbh+cAvX74zWmanb
BoROLIofTLSiQkzBSZG6fDwZ0+tFQdRwaiB8ARh3fQkXi252o47zoOj79NhSPzvAeUjugwnDlMbK
6hLrFUd+XIa8/hJ7QXmfdIN73w6Lt/E+UMdwlQ4AqkQUmPI4iL8LXDXaARL9aS20BnN5UH63KNTa
3d3tr3llN/HIJ26TOnNQ1xoF5D5aEEdmspfYJt5lSxK/08QYIEVZ1GEBUPDY86N3c49iWGrI1xrF
8HWR4STjUXcVLfLVZi4tTfrWDOjGqk3j+H84O68duZErDD8RAeZwS7LDZI2ydENYu1rmnPn0/mqu
1GyiiRFsYw0Iq+oqVjjhDzni/1hKKyjKNZHuG7UhuzaSIzthwcZ9C3eLfvcbTI1pX56gTpmEqg+p
a60E1gF0aOrjT2cdgnH//tuIQBAjoPIJRpHTsi4VNVziDicx8pWlWWIP7If5Va/H6b7R5eigOun0
qE/x4iJTTFlgTKE1dGG8p/ewMWMyfpPU2SawpAR6OeO4dWoU+8zQj5dROXUlASWFk+xXT6C2d+OL
MHW1b3WhqgGEhV6/vFazjrGAsujoR3DisvKuoo/8uTGl7lTEaXYe8rb+nqWdIx7WAmtyCLx3elPB
FMmM4H99DSV66qCb7CQ8G5cWXBaBcxA/iWLa5QI0gBx0LQFAITnxf1oLukQLI/tg5kNyKp122rkj
t9ab/IbMlJIsrJBVQL3UOgjISsUAYipo/Y5YIXE/15BgIlqjfzE3Sp4gr6j70pxZDUZNtUU8vmew
spXJXCfn0ckS+64s4Nd6jdYtOwNupW9UR0CYG/S4uJtW2wlYjZQbKHr4oxYpp6HTrJMFq9UPjOCE
yckLGFhTmApldyEBiFth9PnSNoPit8iy3ScaWpVDWCHeN+o/bl9nWwtPHgNpiZ4mIenqEU8wLp3t
VIv9Ui7tY7KY3xo02fy2D8KdTyzmuN7m6BUTreF0BYBdHIM/gjaqivJiGVwi1KRfzKjLf3UY61JQ
KLtHp1DMV8OC7e9YUvbh3VOkgUEFDJoPX319lgPJ1IMgKEJfKpDFm6YFpf42hnWvDX8RKYKiB6RC
c1aQo1erCezI6buqDv1yKJaTgTn7gxlBXErbYk88YOO1oz6lcTTf2n7r6v0coMafi1nZoRI8aVGo
PZXlEr0/NUKvW0gmUn4BGLuaEOygKKuNOfSLeAgxv2l6pz4kI/bzbSzvdQk27hyOJZ+fFaRLsA59
NXxr1TEmcqFybTw6+cCLNhdT7Ma1MzR+IOndzu7fGpGYQRjECub8mjKcFlOuFhrX/FyXwcmqltqH
zvhfZGrhA7ihPdrH1nAkfahqCKcZ3IIvj0ATystQW0bot3Ut+V2t6Afuoc6Nlsj+krZ2/BdfT2QR
qB5Ah4L0cDnegphP0JZ66JsjUW4aUIExZxzrsRb6i6QWFKYixCUstFnXG6Wo8TAcdGELVFeLHwdl
41l5bLwGPE7vj0bYI29WtlxZUHovZ2UtHZSrQsuQL1YXNwx66SyH+D9EWPe8v85DeYnBhIsMWIvV
UHUcO1ax6Jk/j3X7oqm5eY/h+/iYLNK480ZsXMS0BUySWugAvE2rJyKv7RxsfZz6alShG5B2SDDp
dVPUbjoM084Sit+9uosF40LY48I/uEJaakNvLxaNMT815PorqJb6oQ139U3EO3o1CvpVVLURVrni
4QFqoiEVN6nfQvA8zYmNXUaNnNW42BjywSp3rUZBiTWd8k9RY73XII1QGfKfoLCJva+sfdlqPmfl
JGPqz2Y0nkCtvvZBnH9GALS7K6ck2Nkrb5Hparp0NikTMxwJ3xoAPdGLyDSlTvw0bwguzC7QqQ2b
wehPgZM/ddQTz1JXWIdej+sXMITFpxYA3mNY6HrslXmt/U83xvif26/fxqemmoevE0AJCnrr108p
VKfR8jLxl3iQwSRK0EuidI/KsvG4s43obgOjR2Ri3bILZoKoHssSPvUMPBToPrZ7KkkJ+hZLap6m
0TIfzJGIxp6seq8QvHF2qKNxGZAaUQ1ehxYwQmYgEmnmZ9mc/C4sKXwMx9q8j+1ip6C2NU9a5qCu
KCQgSbJ+D3trKPjQIDCKxrwnL0nviAXkAzV77TCi1/8YGF1yIgjQz7e/48bbwftL30ah3AIATazB
H+FT30ZyZSTMkT5m/F9nGO1hnLUBj2Gjbs99Pu4hwLamSsWZ8o4gafHsXQ7YRYsJ7wiEc9rLw5G+
7+C2SQw9LspwVExq+zUYlspV0bp+/YupwlFTiEqBM60x7yQ7MUo8LLKOSISLjPX4pbXnn7M8TSe7
cPY8pbZ2D2UDusDk1oJLsJroDORHTybkAQaj+D41RuhRbsYaK+rU/94/M+HWTaghIpy1imhVIBdY
LHLmq2NhwjErlP8VXZZ/GBQ6qJqZOTsorevDT5WN8gzEKgr6PGCXU4ubpWmHVMJ6NV5SD2ed8rkd
lj11z+sFvBxlFWbgZJcWZYYaQaNmypehKKitKUX3YRppGbx3AbliQLnxovChSJcvJ6RIzdxG2SJg
o5H1CaXWn9JSmmcH1PpDVgx7eN3rF4zhhOEJ2Rsg4XXpUB8NpU7lsPBtYZRRkqS2bgpJ7Vmelgbl
F3yLXWMUuduEHS3PWRo3O3HB9bnnJzjUBujjA6x8w+H9ce6rAMsfGUEgH4Sb3fpqoVefjant7wPN
kU4ZCjXvFmjEIkeIZojeC5SPdZQ6FDp9FpsRZbpph7SKldNiRw4NKH1PCmFr5zAY5qw0voFgiMn/
MblWrxrqO3XhIz7T0WemX/EE867p3SwwnB2sx9ZhQO1AJDMIbZM4XQ4GEqyzQ2dEEFGH8Eo/qHCx
fY73wgDxBFyGAWJGIo7j9qJttzoNKVKKaPeg9hXXrU5tyhzczBxM2tOL6ifa5BznWc0OldrNJzsK
6PYHavD79jG5vrt5BejjAWCgUHmluyRbaWSXtpr7Qzk4rjaSSRVAQe4wpU+8QJ/mOzb97MtzPuwU
Ybe2q1DEJrgi6QDCc7nI+MYvVlBxF3SpPT8byfxfZqhD7iIzanoYn4yH2zMVKdN6tdFBEBI7PP6A
6y7HSzIwyqHMeLK1/Dsqi967ZTEWj1PUWR5CzJXbR120QxXdWl6BQXkzu4O2vBq0RJykzrq48B2d
rlAbEE4hiYDgSm6kT32vpKc0duKvitSH76//WogGCJ1hVKFEOfZyvkVcdbSIEIaVqj7yNKlon+cI
b6AOpSg/K4zSM81k3kmTNzhBPMZ02umGsKWoh16OKhV2ZQ4OIpkUZ1FMKhwp0704M7WfXBFhdwgB
kBR3EsqhndtYAVZCOPI24JEHIbbajuoeuElso9VnBw6CUZpgKAP4Wy8DQWCfyGj5LUajuHVqLffI
6qNdpXbBzpu9OXlHp/eHUAPMmzWE26jC1tDxNfGz1Bz9KsnTyo0QLqhcIlkeVCMeHssxWr6BOCcK
I2EcXmcj7E+1njje7e2+AbuGOUIvibnTfcBz9PJLzGmXU0ZDyzq3IgQUuyX/MYhfMSlBfLYxtCfq
tvM7AwUSv3TU9NiY+h6rZOMiFRkO8GSKXCJuuvwNShcgWS7xG0ALjBgiDLgxt+X5/TPFP4mB3jxc
ka67HIXbMpeClDQ/JPiTn+rIGJ90e3bQLWhS1pk4OSpdg0C0eZTMOPoaZEkzIr2ik2fe/i0bYQCt
ZuHnwcLDhVgt+pRIM0bRYeovSlvd96Nqn1MlH++LEoiYpAXafdkNmYfSQ/9lgqu8c91cb3aQiTSE
aYgQAlDOuVyJOdaVuhqQs1rmHCw0loDepEmRO/RS49+e6fV1+kYqofOCQxTKc+LP/3yQs76aYhxu
PZB8Dkxepfo6VOnsB/WU30m4tnzTJ1PO3r+rqeeggAERmpSd/3s5bFc2yoRpg4NfSqeeW7g9fgoh
/Qny1ujjrcrVtpjqJ/gV53m0ywdlavOd33D1jVlYU7TVeDkBg7yJe/0xcylr26zTlNGblRhYWRoD
CkUPoMzgSw2S5Sr2YnyMyjnuKNQ3U3Gg/JrdvXP1+Q20qWldkoaQ0K4+9CgBr1DB9iBBYIT36dyV
J0uvk0OUSNbr2GeO68y7ZqpXL/bboPRlET8QMoOr9KdV2i4cqgohQ6ms0DqJ+nNQ6f2hnfNvUhgM
p9tzvC6TiPGE0g60QlAV6xAehvagIe08IqyZO1/LzKzuGydq76tlmX0NNahz55jjPQGD9aHpk+AV
H1Tj3HdO/1hOsvazDrvZ2Pn4Vw+6qCcCrKNFL+KWNSiS6yRFbbERpuWSfSzKSnWjsOg8vckm13DS
0UstRMnUARvW28txdbbFyMg/vNVnCNZXO9/A9dPpQQh4XeaEh7qpGx/6fOLNVrOHYdycpCjQCk8e
MeblIcvpEOuY6w2eZTbSM/KLsguZVzk3eVIdR8eRjo1aN65Mt3cnJt4cmSFFPk+UvxaeccylkJyK
SdrGAG2vmWrlqQA19mtWl/JUKnbziollE+CzLms7Uf/WAotvC0aBfi5vyeWs1bbqGrNkbOKXofHK
WNP+6eeE7nWpO+lep+/q/iQp5YHAKQzSDlomqxOMtMJUtBNMCjuv8tMyRAAxY4x1P41jO55KLa9f
rbnHJPP2LtocltiEzIM2/ZWcJhrymtNM6QCFNl9OgTaaZ7WYMHNNlvjgvBm15HGzs3U3virCjugA
g0YAhrW+McFfk0iaiBi2aZNgt9z0Pi7ymltDy4JVMAT/atYY3nVLMhxvT3fjm0IjQc/2TakFXvjl
N6VFrgwwCNCxLeTiDsZ/+mJrY/ZbqRR1Z+tu3I7UcnkPYa+IDtHq0KRzrXVEu4NHCIg2zYDtEjYb
VfuY9Zr+VJRh8+X23LY+JXK5FH6JbwWw9XJuqhqih9PWA26YkX4Ikzm7yzQHPQ25aA5xE6AYOMXF
e5lebNs3tAMlMG6I9Z3MfWwrwPgHkFjRdAyQmbsfqzZ8gPEd/cW3oxMLSweNWZo3qwqOzHKaHMTB
a5BBPcVJIz/ZY5N7sd0HP24v5dtaXWQJYlrQyUwqtbRK11XprjUwd7DCwZMSpX/ppTQBNcubYniQ
Wp3IRVgxbo6zrvSmW0tO8MMJh/RjpjvB6CZh0sNAq1NoKIGmzj4im9kHTVIlwytGObLuu6y1HF/K
Av27Q0j+lBRZ+LNG8x8HwI4ugztTBn43mIx6LEEoJw6+Jw/V6jpT0raSo8HhKu0T/bHXuvbUOkN6
aBWnfQAWvte1f7OoWK2hkFQWm0Kc9DXW0lTmcNFqQs4GNIWNNQje8b8pmmWGm2TBGN4v3Zj+sFjJ
5TwUeZ6/JvWcjT7FU0Q1eyuIP9hDkDuuoRZIe1CC7eZvUzZN6FgYSBm7S78Mn7JBGXei5o2TC45E
cCg5v9zEq5WiDZuZUSBNHgkbnHOc6MJ/m96ocaaMnSh00fKIrZ1E4Soz4uuwr6nRkysSs4vf9EcQ
qeA31oytgmVaNVevoeP86tRS3dnWW4Ng5UpFXigIUGu5HCRvl1jpWpWQIcp6Nyp0EzJMkR5uH56N
e4iqJ/g2kAyAmtZAs6Wq7FjuJGJRZVjOfNLhTl86oR4QzuclR8M8jRxn50nZuNg1GjiUA4VbL+nA
5dQSfe6cfCEOS5um+G+Yl2g5BpKl0W9AAW4n6NuaISA6tG3YJ0S/qyqOPCytloRE/FUVY5uWz3r1
2iE8961B+hHdi6Q52k1ovt5e141Xk3oymHYayiiGrtFeSTsqYwmdxJtKueu8sDDj12RG/nHAnBeJ
s8xIH2U9jZ+ybpR2vunW8oLiA74IoZcK32p7gtaLlcLh8hBdwUPfzHJ4oufRLoIQKI07j8rWPmWD
CpY9OP4rekYhOxOYpWjyrKIwf/DNVdWVE3Ov4rg1KeE8CzMGeC/s7Ms9szhO3Rj04z3c8GbMlqv2
YZgq7R6xDSQdb3+8rbGE7LtFj5fa5rpJP/E6y3MPzLmnxuUb0US40ypy85ikTfsXZ0Goy/NwEetY
a+mOAslIcI0YEDQK6uEB28Ob6fTez7KS7JyEjS9FOsalTfdWYC9Xx64flxEdUk6CJiNA3lZ68JAW
TbWzHzYuZAqIOILApxOwO/Er/rgcNb3otHwe2X11RCdjrBSL7qHR5a4xRGV9P2emuRP8X9fucOoD
D0yEioIhtfDVI0DppOZJsgd01qpYOnC65d9QpvQndJzm//DyA1+hJG0FysKZctlP4zA/ybXUqrDh
SsSm3r1/RPYL0UTcrASWl0sQ5SFAqyLh6qaM4ibTbIEN6MvTiB7KztQ3tirILV4+ki4K42tScjJO
akKdY8DStzRPRtuZX/o60aDKpdnOUBtXmkGVTqezyWEHcnE5K5OyW9/0WBIB4dePTp//2ynG+CxZ
6vRiLKl8tmt8C9DY1T68eznpUAvBECwFhZzH5cBxxzIGGnM0jDl6DrNKI5yIxypz5Vybd0Q2thaU
fEYoyvNooEx4OVhvQUvuZ6QWCqtNv6QJ5GdZ0oxHYLrJ3e15bZwUoWtH0EpZBnzaaii9NsxKxpAA
jqY0Ps+toh7f0KMtO9zXmnEPl7bxEjKeJRpWCMOCBr2cWuqorVMpBhq3RT8cQypkrjTUX0wl0s5W
5kx3hbzruyVO3iqu5Frj2xEuYZq4Bp6akoyAaTz03mzoae6G9AhbV58d8zlE06NyS23Iv2X8u6Yb
VnX5WbXTcs+3ceOTUm0DOsJJgdRpiY39x43UO4ECdY91Do00/yfSpfTjLDvzk2l38V7gvrXGFL3o
cdJbRf5ptcZmY9hxqEfkdRiY3/XaZBygSA1PCa7cvhCbA9Cd7emFby3yn4OuNlKnJMoSmiRAlVng
GLZY8122hLCMo9TCtTyJHySz+Dcn+RVqb3/xgtEIpd9K5xphmqtUNpWNNhKjI+6j++WoVEfo9hJO
sUV7vH1itr4krA+6EmTNPC2rL9noYUgtidWdomE+KwV5VwYLxe8SU9kZ6o1As965Qk2LnjUcgauA
A8+foulQH/SswWwPS1MlD4ukJg+NEqU/SwvtAtdJ6vpj3auekfTnvsrN2s31JobDkBknEbwTQS/m
vzghLAk5d2/8L+rRVL29JuLjrn8nVDzBOBJ8TnP19tnToprAuNG+mwvpX2uKJtXFFbj+2FbQv9Ee
UT7dHnDjI8CW4MriQ7A06zACzHjRpQnHCWYaVpV21j7l1JSPVhMu3/5iKLhNAppES2ZtYKCN1Pua
Qe5RrG6kj1qRgoNK55x7qx60nURy43njcQG5zyoSIK1TbtoFdV4Yc+/VNvrTkkbDseWcf+6LREIR
s6jOFWBKt5kw6Ls9y424jJGJyoQKD/XLVVymzi0Fb2PqvUwzpTP2p6bnQCDY2SfXPUVAEdQUBNzD
EaxfcXX9cQ3WFZnGorOhpVzN780m/WBZ9XgY7VA66KEUfBwHJ3EnGb5TWOlIPVrFnnfT5tYRHlVC
XVNUUC9/gjNrestC8BrInFo9tHVfsklxwQ3O/u1F3RxK1PiR1IDAvbbCakMZmlRis0ud2T7jJpCi
4ZkqR26Vd4MTxMLSpodFJAS010gaWw6zaKEp6DmVFRzigXJRF6nhKYy63uvIn5EWL/eoNNe8zLdR
AUYjbigcJle7ZolMOY8KrfcGtNSPS26lB2QHl2cbNbozzWNrPlalXh9TO9GwVyyzEjBuMDwGcjYe
NTUZT4M0osxnhX10yMBx+AXogj1h2Y33UATmouPEPzhYl1+8buwwCTOFU9WGw0sfzwnPROncwwtM
PiHE6Pgmncbz7W+/8R7S5SOhIoLjPK3RIjo6CUCp2GZNPw138E2aH2myzE/ysiSnoc9Tw1WDPnhM
GmQEpKhX93zEt2bNKROodY065/qdmpKOsk5E1KNJk33KWnt6aEJyvFCPe7+W8NpYVCnbweRsXSNi
H6BUQE2KvXi51HGntmpJed4bjNJ+CvErcftw3HML2TpX9NypFombhPrk5SiTrlYIh3NZ6XXdHpSq
KP6p8/Z3kNTdTiJ5LaYlUFxkG3Q8hELLGoDQB+wZiHm9V7WB7SIuKb1URffdNLviWZXCgt6lrvpy
KM1ovRZg9uWyxRW+1h+LNI9+3N5Tm/MWGEFRKKP/sgo9ymGMhlQVz4MRdEetk36hOjt8pgFS7vQi
NjYPT5CB0gaVVkDIqyNTtKlKbB50XuqUcui2RS/dFWrS6i4a5stL3JTaKyYXe2CyjQkKFD01QDxu
EMNZTXBJnH4ol7r3JspzP5Wgtt3J6MyXKZ922e9bU0RTHsQq9WZEC1YxS4Ssf8A9TObTy/qxqqLp
C2ImFCbU0ewFydXyrbpoA3fs2g7jK5QPj2ls1Xfgz4uTo5fz5NpFkuiHQe+dOyemA+WHUikdRqOe
/mLLA6+DNiew9WTuYjZ/PJxVpjRVPDqYIUcUYTMniv0sCZJHc2j2uFFbH0HnvqDK9dakF3/+x1CT
NJe9VFcsTA1pLp6q4FfUV/GDaZXWzjbbuC5EjisiAjb1lfxWE8dSHjIcXRNWzGnN/KAEnfr59rHZ
iE6BOgiFYcDswPfEn/8xoXoeccbsMZLuZHVG7HfMnccM2PyPaurs50RKm/9uD7i1giRfgmFG0ASz
+HJAfTaacS41Tg+6cGdd7z4rkoTXTdzuSbFtTo0KIXwe7J0psqxGirKqrkdGQl+N4BDymheHAXpF
mTzd9UkR7bxqW1UuER2KOJiKAc4OlwPOkR6qVs1a0mEJADzK0bcJBct7TR9wbmiA1hxwdpC/y72h
PaZ9ID1LvL7nIa17+f0VLmJ/glVBLyIdW33Wth6bAU9HtA3Hpn7Jglzza5zsI9fskz0/460vaoPN
JjaHk4Eg/+W0Ac1rpLSsc5WHUe6hPWDctyXCia4mpdPH29tn62aiRkDNHtAKePdVkWuSmkxaaF55
JUJQP+K0T7/XgFJeSzhbnT+ay1y4Kl24nddl6zA6CgrwomwAA3P1aXWr5W829M7LpwAf2S4NjlJf
ysfbk9uIi4QpG9AXpkd3YHU2tLi3zLhhlMTpRj8YE9mFzgcRec4ND4Jp+hh0Wfw4lrhTB8awV4fZ
Hp7GBNk7bcZ19C+FkxQg7cVdkMOMLiajgvQ2awdt6bq7xeqW+87QupMzORJ9Wj3YOT/XnxZQJ6eG
QB2Q3ZWQSTNOddLpwAlSZVl+TENmHwLU+hK/nBwqw3lgjZI7lJa8cwVe71+yHf5LOZioDDzv5f4t
bLMsiygaPUx2KNHMufyhNZuXxuCo3v6+bxHRZS2AhiGnkgQLJCGVvsuhZimbtKSlPoJlbWMcRlQs
PigxdqtuNDfpD7kx1VOgWtLPaUmKF9qY6r0TJ9GDqIF/r5RBekT61v5UyMGe1N7W4tN6QH6UdEzU
xy5/GRiSQkutoKdUEsD2aWUMlxrsnkscqNoIg0jbcON22UN8XW85DjOlVQG14wZZG9B2mFtbOp5f
nuOkee2Wiz0DUm/N9geYQ8X0kFlITtpQDT+jBa3MY6otmFHd/irX7wS/AbkpCmTcllcNsiVvKws2
3OBF5VCfWjkbnuOwq76qNK4/06d5t4yHKHLy70HPA3cHBf9yqRcrKlU7psw75pSdMDhK/ajB2Qxk
i7lzpDa2NjMC3wHqi922Ruj0qCVbTcbfnfEce3U0hOBZbBOppmKPILM5FOJo8O7J7ajQX85KSrrC
rHVKQbITPZe2cFTKHaV4MNV+145wcyyuKfBA6BETulyOpQ5WFhYVqTWVEqV5mIyxcs5liqm97BTz
13dvD5i5glEKCJp+7epkRJETy4PDYFWNB0IQ6c+JtgSxH41W7ivzmO5RkK/fGtT0KGcRZOLTyWNw
OTtegVjDjJjCJgCOZ1iOILwrboLb09o48GLDCz0BupqAMy5H0ZtUMrqJdGJGFHjyIxvdC7eK6vQ8
T5bzOTYb9ZBUQbnX7t+cnQmmgfiEmP2q2B+q5oyRNRdNINmj58RlfALDIe/BLLf2CFcsJTsuNfCO
4nf8EdjKPXQcKscUeLQGFG0LiDdH9sOLKb35t5dycyjxt6HpKeK/1VBplQXJSFfK0yo59IiSlPt8
GP7R+8LeqYFu1AjRqqNLQsLNSSNgv5yVhD6EKCJyWdht7TV6W/5bFovtZ7We3pWLZD7qnf4xHEbl
VxLHyzeckfbIeFsfkCCFM4HqBffzaraoYhudg1KfF8Gi8kJzWY4odSc7a7rxMNDio4Ngob1GY2p1
xHFEy8smy0FwztHCMzAGd4Mx5wettPunrnZazPo66rCodp9qzdlzGNr6pCBHaQ2DQae8vYr3tKrR
ImOgWdMvcXKcpLT20QWgtWpO3eH9uwfgJqB5EXvwBF1+0jaaJDsvSkyoi8Tw2npO/MHA7m/S63dT
CvnbiT7oA0FD5z5bfbqwo/Ncy4D+UF1vf8lDW31xoiS/i4CG7ezUjQVkd0B607F1ga60ul7yudML
aanos5GF+Hoe1QdpskY3H1vn/e83KmsmwTnqo9xpq60yysGAPArVRHnhBYjVbkBfW+jf2tTbQq9K
MZG5/ck2Kl+C9oNaCYJrABvXeIYmN7JBFu9qkWBr5ubZUhofemkclUPZTvU/ZqfHHeDxvjCg/SXW
a51bCvTKNrBephTbkENoFkr/v52ftXE0AavCwHMEL55mxeVWSiYjlEyb2yErpvoojWZaH/tuxJWN
S6P6bRrASTwIiJH6tY1G8ynFkqn3kiwqnvUEh4PHyYgsmoNZLn/qtCmtdsKRjUMt6iaIwtPjIB5Z
nSqEciZDjhOqJ4ChfZMCkYcuvH5w6vQlrnFZ5JlSzsNc9xTANX2nwbK1JVVVx7KJyq8GxPZydUrL
ICM3mXAV4T0LDl16iEPll9ybyk6ld2skTSBdgFtBKXBW5yxxslCqSdLYe9jFlyVlT1A3kWcs07hz
T2484yJZZFkFdxdAxOWkNKKtCKEngsmonh+qJpwJYxsb6EWshadanXHerqmi395p4m9d5TG47+g8
rjx45AyrmMiiqNpCcBtQI4tHb1Sn7IdplMUOoGVjuzCKJTCBXIwQNC7nhj2Rkgw6gBYFg1w/Xzr1
IWpT7X9OklhHqdOjI6JVph87oeqWcqt/vD3JNwzgepaKw80CGkPU4VYbJh4cPYNUP3jdgAP2WQ0g
5HjaHAQzRDslCryghhhzsPpK0g9BVHaTi+tE+zuB2Qvftpd/1kVUn0o8iI5DEER3I8qvX1opjc1D
mI56e9TGSJXcOIta6kMj1+ghLluzOs5Uw+ARGtmY3VuGVBwyLXTKnfldZ6OEEALjLsoNlFPW5YYU
t6/OJDLCxsz5GlfDyQlM0cAV6agjOXSmckyi5hk6Ug4SSxFXHXr53/PYfC069O+M7vX2kl/tZrGj
UFV74/kTTK1ejcQY0piWIaWkcDYeOtSgUleubfkhpO50tDobKjUB357GhviQFx/6bVhaYEQzFNfX
0qCVhQ9ZxsPhhbPjkJs77VFvAbouwWwBCE3bnffj6n54OziASRgLmMT60OaUrSq0zClY15Zzquph
PGdBn3udrU47Yf7WUNDVhICITcy9Bn+Q3CYA02lWCOtmvzP0hmSin/GeVvZQ1+L2Xq8iUAD6eiSA
AgR6eVz7QjXaOB+ga9lNUELV6vT/5akSfIOU2fp4ZaKqmCTTcz8v+k60sTk06qcC4gIUYd0614yx
TGR95AMuZoTuraq7dpUMJ3saw8dJSFfndZO57VS924+ITwnBnv9R9WXeqzsqlVpMTloQxAnEObfL
1AVtcHM8BFmzJ+28tUtVkKHwM1EQgnt+ub6p1hiJ4cwdrpdt5lJInP3JQYIzN4zMXwZT3envbY5H
SddkNILwdUeNSiQfmTaAJ8uSfMgTsO21rmOEY2O1SZNvj86/OR4ZIWsJR4T76HJ+RFzJNC6xsHhP
x49dXzs+rMjyrjFDACbNvOcEct2h59tpFqgckDnkM+sFVaWyphyeEwF1qGscZQlTmmMkwWnytN4y
XvLEzG1fc6yed8eRwpdS1rvxgxz1C+ufROPoFq1W2K6d9jYWCAVUTf5Q/QT/3nh3RiJ+LGL3b6a+
5MOr1SH3nBR0Kuib8NwfnMlOnoOYrJnENvt++xa+zjIZC+AQCTrq3iSaq5McjnGRL5VE50SSpe+c
2ep7qi/62epn5VfXFDBglbyh68Ul8FGX7OW3Ije9vROvbe0Hkmp2A+UXRHNWuW4ww0NIkE335CxY
/DSK5ye9U81vchDH3ytbzr7envbWePizgE4WHkKoaF3uP6QbM8hsDeXvXutfpiDt0LpfhhbXmyBJ
/S6u9mAIV2EU68yFBVlQo+JKqfNyxDpMK8Vqam7MtpQ+Q4NUXqMo2ImitqaFsikYT76oaFpfDoJf
y7KMVtV5ozOb922df0paIGhGKpEATIN6vr2KWw/On8OJn/NH3UVRwJPKdtl5KPfnfhSrjhch6+q3
bWIebg+1OTMKHgKtpNG9XEULdp8PVk4D2pPsZn6kJim/loTj3yviudKVZq5g9/0jUg0QChRciMBl
LicnB44ZkMd3nm3X49mxu9alRmG6RWiYBxVY4c4RuKbOsUMQVyTyAzNChruaInw2w5g03tRomLTo
YHSt9qpS0zGPdLmbT9JYdQnWafUUHzBlnuMDEU5ouUZTdF8wrZstF90JJfMiGvDGHdcHjPlCVYfI
LbPK1NxYzpQPSdQChDIyNb1L8HrT3UHLk39HHQ9hd0C6Ut35bltbhDoZdxh6/kKM/XIVWz6MWRqs
omMt2EZTzj12WiqfHNrNO4nK1hahZkspR0ZlkWrE5VCWXVRWYdDSKqZ0PjRDbvyiQJZ6o2lIqACr
exnu1tQEsYfONvcIGeDleJG8aLESLIynUtwspF7zOmRCTroe7O3FraEQXgE8hwIeHOfVUEqY6RQd
afFaWRCjzzzWj8k8Q4Rpi3gnn90IrygqkEtCagZUuu6kD4ZkDvoc9V6PwfnvADX70q30efBMWarv
wV7mh7GSS380+jrcOXIb0yRnBxCv0S3h7K3uyKa107isCmoGal65Zm105xSYpGspY3q8fbo3hxIo
QXDhNKPWHi+WMjdaXRBsxHH439CV2lGt+oF21JjsjCS+zSpUhsWMaw2dL2Qx1+XFKo2gY8s8sGEh
lYdEMP91o9ozBdiaj8G9QRmV1+wqzeD+dWBmM5/OQLvUjepm/F536jiQa1bZr/cvHs8YfVtQZ4Cj
Vt9pdlrZwDKu99C4iz2pH9v7DH+EZ8S9lS+3hxJ/1dXqCXYidwh8hDVNesIy0UwyyiuKg02kqpbO
SVuG/pimo+GhP61Qmh7fXWUU0sSUGIlHqEiQSl2ebCR8m6XqGRRsS/DY8wwgfDuqxzmAZzoAPNtJ
3LYmScpGLsPeF3nN5XhqBMnFQmbK682uPox6P37EDVw/s52sAh5VU97F6O/uJFIb96VQ5+ZO4YET
zcnLUZdJbw0Kcbw3dWMdsmK07xyEZ7B4RlEPIOpwuP0pt7YonROaUDzflAVXuyZN4rBEVrr1yn4p
DqnVy+dSGv8ByL3XUNhYTxjbNFxxMaIGuCa8iy5D11pSyzsHqjkKKvVbqmeIv5eyDFXAkhsJy89O
1X/enuHG3Sm0bwV/iNFptV2uKJdpUDcixpsabfLtRDJcZcrKpzLXF2EeoLlJaUQ0cPJ6J3+7lnhB
7ZS0VDxDlHiuHA0azHGcpsfg1Gy68mMKBbqm4jCML91ABRoXFM2zEjk/Jn1X+urSdK+tMyJ2j370
P9UsN4dQSsq/qLVwJfGz0AQQz8lqPSpt0nqjJGEG/jIeJKNW70JNC9zC6eY7MzTk0+31v0ZliVVw
+A9BFCSFdZSoNXZEzZnagCJRpvdaqSRAStU8ts/S0C8flblo9WOfOOE99dlS8UcpHRJPr+bmv8Ee
iB1u/6CNLc/v4VSjXitCBPHnfwbIdWyHqszviaae8LEqDJxf1R+UKv4iPhaaAbTIhbksmIPLkTTQ
3NRaEgoGiFZEp6Umu3RnS+uAdBp59Jw4WrYHe/8/Z2e2LDdurelX6fA9+3AeOo7PBZOZO/ekWaWS
bhiSahfnAZzJp+8PsqNDyWQke9u+cVlVhQQILCys9Q8bAYSuJEUDiPHkx+vmtaMVVg1Jrj1AlBWn
ocd7aJbaywUX1YclRxjt9mpujscdKhsxXNtr0iPCm3Y0u3p7cKbK/tZ1U33olFyn4RHRU5iKVyvx
s5ukyCHlaMRBrlC4bheLPu+sFokXM/TNsVUPBrWeO71T/pOhCOYePiySubC+5pTFyWNLaC3MJIMW
aCqS52n2/jK9Mfrw+kUkPUYwnkuOOrdc5N+2pB4u+dhgj47IgB2frRbhRtyo/1TsFlepjrfA7eG2
TgCBUHLSAWaC47gcLkG3cW55VxymyOp92DXewaySzrfH3fLcRqLFp5IIBxIg5IBWR6BvPAs+c0xB
2TVb7J4T7Yy6e7MTabc2oQRbgugCPcUNczmheknwxNPo+OmlbrwVCvYlOoAy36kr1aerW+7k45sx
jfwRLDgYf8lNvRzQS6w2zV1OGWSWkhhCUTCpOu+oNFoSLNnYn+bOVQIob6XUWLH9Xi/au6hxzJ1f
sjVzSclCso2mMri9yx/SuQ1sCZ37W3PL7CAWvMn12mn8ia5UIATq2Le3ztb3xP6Co8dC43q2+p4J
jd4uSfieIo+0UxY51qHxPPvd7VG2NqiEo2EKiCYFSd/lrBLeFprbZd2hwf/8SDnsr9qNxIcalMfO
+m1lB7IZipWotDxc40opKzajYZBv2ehPHxLM7b+GY1M9Ue4oKD4ly6OXISZD7hB9vD3HzZXk0BM6
JWpr3Yu1pwxx4Y46TTwU2peySmqwHPBgbo8iv8cqVecpLCk+vD+Q2ljlk90AysmuKdHAJlDO9P6T
r4lR1shDjtPRGFsUARB8OqvFoB60qU92kq/NDymxdv8afq0T39RjYhcekyyM2qbzPVnvEG9oDtDc
kvPtmW5+SZtWC6k6QlW/BHx+i6GaHiu6prAzG94OQaVF6h17FK1KNyW5CRfjQLetOXXussfD2TyD
zJE8WtoJr5+tSpr0C/PHG1yJUgBqsxqYsWodYjK8wyyg4f8HM5WjgSeU8Xv1MkktIXlZjFcVcf7G
i4vwbh4k9dMt8ik7hq2pfEiXvvuwaG61c3X8gjCsNxSJHIBNCvbAoOQX/22Z7a4DtOBGlBdptcz3
ozAGDb26JfsD5IOq3/MCdRBc05X43Zj2sc09nWfHfIhDpCTwBLIPXSpUD6IDYEg/zLy28qdpUke/
FY6uHGezVb+46TA2+LIPhrmzdlsb0qYGKXGLiIivSTzKrBttisHoAfX+/khGrsX+pC4Im9Xo4r+a
rUKy8vtoq2g5V6lWprrck8hvnaY8U2kzJ0XykCyOuVeP2tqGPP9RnsBiEWup1SU4gntrR49qg96J
5cArrDir6KMe3HyuTl5bxztBeiu08EVhxnC5cxmudkK0FGkxKzRtAUgrjwYakapv2vOswuach/og
UMEbg17r4z/S3HJ/TrMJp/X2UdgKolDsZPUZyDws+8vdmCVxrNhZQ2Esj9XHpW6sj7Zd7PFXr4EI
fEeecRLACxkLzvvlMDpfLw1bF9JDFS/ZXYL/6V9RM6KCr7Dzkf21w09FiU8S2st5ESRaHr84oSsS
mkUYXVIhjGijjNNUPCulEXYB+rnD7I+KsfS+2xTLt7qvu+LgGkXt+GmrhKiK2dYU+7qiFfWbpNU1
mOS5KPNgdDvxamQOe4MeKrUOSkfopK8SQkfUWVNIZuTUF/bbwQ1rqLpqduo6dee+3Th/XOuSJ0bT
FsqT/KC/hQ+xCPx2aqoqmbBMH0EL60yKFfp6Cir69t64FiiQSE/cP/lm1MSuyNSoiZLIuLz8vTBN
y4NT17B3F+RRviWprrynuZo6fpQiv3oPX6i3PnZ1ZbOHrWgs/MSyMTVY5lR7dimCNX6q1n3y1LTN
+L6dWcpTHeEIvfM23SiSyIwAkLNsu8FTuFyeBVTw3KYUek0wA6dktuqjq+jlwV709q+5iuvEr4vK
tnai4lY+izIC1TzZw5fwj8txaye3RRLz1G6M3HyjtKMV0N+IC7+iLAJNGFFomP3jkB3cDEr8MCue
bzdudeSI75mDbGwRHpM6pRoKb9Ie+vK3gG/vFmfxxAFZCONHEg/6URMueNd2mLO9u3RjwWGHA9jj
7oa4uIYYuQolB80duEtDUT65WWcchnaITjz5kLnM9eIbXub9zlfemCGDUuMmnpABrhurWDyh7dIs
QGhHgTx53+v3Zq+q2Ht3/0GrRzooUwnguqZ4Ly+N388b6m566zbtoTWH4ujWtFCHfNKPaKPu1VW2
llKeaiDJAFCuwK2L605WkfPKG3QEIcC95IcW0tKdXQMRrtEafHTMeC/32lpKuYS8Fng/Q2m8nN8y
unakY0qGDqTQDmaadiezc8ACJG23k2BuDkWCx3+4Da74oPmoJtaQlO0hLvT4LvJK467z6jEo+3IP
3rcFAKCrCj8FOgxEhDXMPEnUis4/pYcy4aRl0IQP9H/i46TPmNjk6EpafYXBdFJPgefRIVfHrN15
OvyStFylelQ9gN/9EisDL3q5tqZTq/WACOtB6q2LU8Vn/UShIvq8NLWDwH/mEifrTMmjs9sOcBsn
ta5rv+i63CViOdGjo030+ij12fdj2ZCWN2h9fb4d5jfSHhzJSUR/9fKpsl7+yiEWFbIgenNwUVKm
nxMvR6M3PreNlj+EnhXtFOg3dgEsOQxNqOyRE6yhpZU6A1qxqT+Bzslx9A4rWJZh9FTXi7p3gckF
Xn0ASYtDCETSwLGUv5wayd4QGhNVhlpMoX00ZqcPaHIbCH0NojxPJXbsvhaGGFobs3KX4odc+LZi
KadXLzG0OZkjwHrAdGO1EWrqN04yUV5RhxlDYhzug1hP5qPl9c1jVYroj9vjba4xeDlJwVFpS6yC
Vq3yQJgWHuWG19tAyrAApMzRPQyUBF6dj/CW8QziFooNxI9V0lxNs6Z3toGJUZR7Z0xF8PnSYvVU
iG7P4Ph6VnIoBpH6gtRqVhu1xRwe62a7OfRqOZ0s2MG+OoT9KQ93uWDXZ4JSOyAQuo7cpEDVLjfO
LJzMDKtI1hMXlMzNIb6nCR4fF1sXPm0BcX/7g/0qhV7uVBZQioiSNMkmj5z7b9cM4qtORYeMuVHM
Nw7l4FrVaVB4ivsDZ+RtWprAr7G3zUhgrM58rDLTwzvAdKMWifmRp4Mx4qDhh05ZZEeUooyHtAiH
v1K30E9hmHRZ0EyT9sTa4WRYo8f8LkLBIz7enshG4KVKyeUFrprWPu/ry4mElTLbaqY0h8w0xxcK
+MV9hc7dfVnAOfMdpeuO2aR4dwIb33vPDdUvlNubaOfkb30/6Soiuc5slTV7PEHTKRNxRpBRbP2o
RI5yUtveuhtCXcfPftdwYSP/Q2aCuh6gRgg/JF2X0/aa2DAUGdXwEbeey2mkmmB0qXKuc8wq8/QU
2+b4lBH5Dl00OUHHvtWsXfmj6xSCn4Hwng7cnLmv+RPmjHtq33HFGpE5Yi7j9HdTHg+IVbdk7lQe
z5mZ7pX5NxabbBMoNgVA+iZrWZiah9GUt1Zz8BoX1o9TzU+hkbRvRi/LeqjfA+rCt3fZdakKsUbw
lVBoOTJXScvoqGUVSuc0kStgAYQ6H/JRR9Zc0PdKFMXCp25UA2fQxafbI8vceXVOpTYNpib0TjTS
wsvvTDlwqseaAtwcT+ahLqv02V32hRg2h4FTxX95ViAKczmM6NtsCSevOaimQFYitOfq3m3n2e9C
PWv9DmG0+KggbXiMZsquaaKkn8Yi0QLVy+L3nTvk1akJ4/i0xIa7E6u2Pjd8XFkuB3RKe+fytykt
OpV6wtla0kr/ZJjQX5rRyU5OBMol0EJqfMHtRd/a1VLhCXIIikt4K16OKEJbpUrGiIralcciNs1D
3LnO287L0J9TuL4tqmM7g25N8/dBV096S1RLYasx7fY+s2lOpCLwFDIH0w71t0M4vVodjhWVaRit
Tmk+un7Yq+qYjlGGs4Q9e/M94LLGF2GjHDEpWvzemcYjRUvzDuvnPQfwq5nSh4B+QxWIWii5+Wqm
deLMNg1+uDBK4rRn02wiRDCkBQbifrma3ZXLFO3Zt8gdfHGQeJeSEPGIgyUJ/GtVVw+XOM1numeH
HnZ1caf3RvtkNaH2WNpauKcKd3Wc5GBQYKS6B7XXX4n6b7fr3GZdrVcVL+Bo0d8W/aSfPFE6n25v
06spSQFwhtEYB5La+lVaQpPjC0ZjgHb0aAfwY6qgNnCS9Zu28vYe3r9e1hcrKA1QaMOTvFOmQa3y
8lTMrW4VpToPQVJ25qj5U1h6NCOXUnVOixi05Thy7VcscDH/oEdjtScrT83M1wXx4zgKFTZjp6Z9
eMpU7N8qZ8RJEPVyLTqNAGX+WuKk/9ajMwwtIO2rVMZYe3mvaEj5AdCMBvdo19HUPRAOqmcmHuWH
hItp58FwtT2ZJ8VJPtyvN8q6BVLCBssdqx8DL5zqj2o1PkSjUj+lfe485KZV3b36K0pdH8aSzQG6
xJfLqkEjavM8N4Mh7r0/3c6JnipEhr4a+rDsPBA3Ngwda1gttF2lL95qqHYUyM3EvRkIo3A/GoVW
PHaqVZ7tSdtrO1yFUK4smtVUTAD+ArVfhVBcf5fJ7hkKt5XpsbMiN9C6JX5IcV47UevXn+iBmjvz
2/hyIGSQnGElAcusea3GouPhV4VGUJR2+R4tz/tOlN4pb0YFD7Buj2CwNcffh1sdiBK0ntRaMIKl
QEvxjEmnOvnqEgnKyq2dHQZghpPfmq+HKbK4gOYorHFXA3ZeFR2TydVDszeNYJwn9Ws2xdqfQo3E
5zwrlne3d+dV5kOShbIN1RquUeyvVnNsNSfMI4nxEfOiHttEqKepN/5ezDg5FZOiIwHjFH8jOb6n
ALyxuAyM2KHsmfFIWW0gC48OONatFmSdI47LqCufhsj4u8LT+c3Umfa9PWvl8fZkN/YPfC/OhSqV
AK+Utka3dqgwM+YQgoE6lBirPRceXux+q0MDK2fXOd0eceNE/qp2U+ijXENP+/Lwt6KLvX6pgVB1
kflVUztcMTFf/FGaRrHzcN5aUGqY8msSxGEAXA6l5IqmFq1Lllp1al34XUNj4r2Dr/tyhCgKAKNx
3XdjPewp1mzNkZcKICBKA7xX5Kr/dhkmYpxHo9e1oAnD3jh2hkg/kUc3jo/1crMDAt0cDFFuSfpi
rmubycbRuyyhjRGUZeh+Maq5qmjgielsu8m8c/9unQ06kzRhCKgUbVdnA5Q1BNbZ0gLHCxuS5E4b
HtFgss41L27dbxMZCXDuo3g75v2OqrvMele3MaZriKGRr+OxvAZEE1uXVDSoRVpWrQz3Mx2rsxNG
eXsQc5SDYM5180NBcvypGKz+77Kt9tqXW9MHUgwOVTZt+CGX39UyuCXHVhiBnWFU4PMiS6c7s8qt
73nWqGSUY3WMIaEF7Ry1e+I5W9Mng0RVkGqTXIPLwQ196oGvjUZghXGZH8HoRcJPQ118zDwH3BI8
2Eco1xhc6+ZwtBVzz/Jwa6PBkqBZRaNKXqaXPyBz7bxRKIYFDfCMYHA71U9qzzwr9fLqOhQxWOoT
SEUiNGDWGUKsZWnseCx0McZRkMduf1fkXnZfgLXfaXRsRUCGABkIwEWaD13OCoVwLSoc3Bbm0DWi
w5jP2gv1m8r2dfKtx0HpltcPiXQP5wfnSqCHkCYuh4ysqsZPqVmIS+PwrqcMdwQPge8S/+/0vQ6N
V+OakW5AL4hmFXw9zVy37Lwoa+x2aJcg1/T0TyH0R+RoFM3P1Nkic7B4B1nztBN9rws2yL2S5tF3
46Sgh7c6LZOu5umAOFyQVBHEj2mYtMfRtMLvI9LqH/Nwjp+6qK2dw4zO7xkI4QjXzB0AinjqX6+9
dMgCSRsklYgvvWbgDvacu2OmzJhsO8YnFYH1H6UqzOe6FOWX20NdH1OyQJpL8krl2bVOH3SMAoy0
SZegrzKaIQXuPbFXqtQLW+uTB4P7qI7g5LldnXOLUuDx9vDX21kmoVLrBNAUvqSr0kE0O6WddfnC
9dok5UEIhGj9dE5wIB70RjwNyBTsfOjraxbeJXc5uR2lIlK0y+3spqY9QG6YA80r2vOQ2w3dDcU7
Jrmz/NAST9xluvP+9jSvIzFjQsSkBc3DhWf95ZgK0upTL2A3N22SfM4L/R3ywuDXPUc5a8hc+A3V
tAAYwh4h+DoIAuoFgkCkoIpAmfxy4KjIs9KLMzXIG2266yYd573cXk5Zl0U7F/uv0HN54TEWcQlP
GJjVV7x8CHdNPlrTEhhu2JbI4qQqvW30DSR3/g2bZ8SuXjhBqo/TvaNF84eEsvGnpsDqDQPg7FkX
TnS+vfBbHxswJ7BKYI9kAKtD3U5FWpk5oSRZsBzzs9AFCSAqB9G4YoHyNetWeV96VpK9tiBJNCGV
Ag1B0RnUwao1kVZZhCfguARtXY9P3qLpf2RDlFOzM4q/5qlRT5UzJCctowh8e8pbR4rwRYFDOuZA
Mr785Bp2sygp92oAw797M7VaxVw15Qvc0u6hQQV5J4JsbTEOseRluNIVb5W2FqAkR1g9XA9R0Z+m
iSuP1K+/qya3Cm5PTX6t1Q4jVrGasmsGh1oes98S1aowkgpN3ykosql7n8Ad8hGhGT/fHmXjsFKv
kW8qlJfJh1dnRqhJNrttOgdxXUy4twnDuRelaviaktWnYUzoFbdJh/4tZXdlZ99sbFgyNXTIeNDx
tFqX3kalFEPr5HOwREvtL6UQ91Y96m96EVeP9eL2/qRN1eujMOkEdzvPD+q41uoTIoauWUmCW0xU
tGZQmmb8kOiJdVIH6zNcRf3u9gL/qlyuvyP4L/IXaDx0YlcZhVG0s57ZYg5grmcwxZFhSLRpPi2j
Zb9HBLH6ppnUy2alKI+TKiJxbBrVvkv0MPuUoDOi+/TozIMneBTt/LSN3UxvmGgLOQEiyxq3RSrn
LFXbIeVUOfq7zFOWe2foxUebkPYjasrwqKKm+pSNTfxnDQ3yJzYweEPBUa5O+mgmR5r081NHLDqr
GfKDOz9Pfon1ylH2ktGV3Ul54fIEzMqMI4gxYDZqYeUaGPU45kFid/rXVjUU5+QoSZM92GoU/RyL
SESHKirVpzaysWTe+SkbcYYTSFdPPh2pcsiV/O0wFungTXFVTYE1tHHrF+SfJ+Rd20ejrIrlCK7D
eJjVfD7b5TzeYetY/uwR3klwRwbRLxylfLbzybxLnLp4ykBCfUH5WLF2tvZGfkMUJJGS2mYyPb/8
lckgnLSc1SlIw2qqIVWayaM+V8Ujd6X3rTJVNAertOxYyhJVILWbwz9uL9TGiZaOfvQcJbyYiHz5
Cyzh5GpUqxyuxKrThygO8wcxxMNnO3eV8jB0XTscQ2dxX38PUA1mSGhIUvBvdQ+kndCHGjfBoFb6
Oj81DTDBl7gxlOpU6ibeMknlFPr9qycLkQGWATR4l9bBKkLTgTfLUnbaJjVp6m/4JMTnVM1bcedm
eZX4USvG5SGNjPnVlUWqiYRtKicEMY7b5SpnmWZO4MqoDDVZLYK2hSXjG5nIBR0yZTnHaWhUe8Fi
4zRK1TfeRTitk/asLvkszXWYb5kWmBWCLuBGxuzJNvv60RvmHwYEh1Oq9u8mLxvuptSpUMdV+4+3
F/w6XlGegKHMPQ/3GqXMy3mbRroguOW1wQws7QvFIiv2ISMq79tyGXbW+LqVD8KboqaUuYdIy0Vx
OViMRMugLhyWRR/b6rEgQJWBkcfOV7MHxvlcLPPsnjyzmU2Mz0bTO7Rhq5iPU1dUe37o17kAEC0I
UECIyW9pVF3+FnQCFi9s7T5wUsIKUHcNOiCQgp3Tex3lLoeRf/5blOvG2tBS1+iB58C/8wvP7R/b
GuSFmJoW2bbBPN3+oFsDcmCpHKHgg87Dak9hK9ZbU5ENgWrn1RlnHedeKWYvoBcQ+6EW9efb422t
oyGHg1Ei6furu9gtB83MCEGBMTTRc7W05Sfdmvau/OswTKnCBpcpsXd8rtUy6lXqjWXRD8Fsifbk
Zmlm+x7OBe/oVDXvFssL34lMMZ6rOgKNN6jmu9uz3DgmjE12Q4IK2mpd4qS0EZuQJ4YgLtoySLMW
enTXts/zMovj7aGu00eqXgiGWQQiMqc1xzFCCFhHe20IQkHdzc/qVPmSFrrzEGlaXvjt0qSkk3r4
wssg26u6XSMMZc2N0hBq8/SrrtoBQjEUI0IvFJmapLUOVeuFj87YZo+l2tlwpROlUQ5zp2t/xlWc
H0Kz7v/oRP+ziDvjU5ss+THDGuVQaYPzRI+o+3B7cbb2gWy8SnEPGnhr8iIe8BDUEbkJzLavqWgj
7PpBsav4blZqw/DhIDngxoYx84vUQLGTeLSTfG7td/IA0IYEMZ5Jq+s4dEszbDx+wWhFvePHYQG2
NXXbnerv1jFG6QAXP8AuSMitwlPWufOg1xFeT4o6fBaVmunHGem4+c5bFljEtI13rt7NiVE4s9E0
oZiy5kylSWsCugA4C1rF+KJOevjGsHmk3P6AWwcJjjta/wQNQLurcFEPSgljg3hY5p167JTQCRDI
UwNRgfB6/VA0XVg7Cay5QiGEgOU9NwagqQxueleNI8ZdyJ0ew8ird3KlrVlJoB0INbgoV1lij5Bf
ngCNDGAhgLVDYOCox3oKADbeq8hsbQxoXuwLEAEUoNYL2HWNW1vE9zmZjEdd7dIgzKISKl1qJwgn
7JnVb02NO1KyiRDZ47xcXmA0Nsq6V1zcNTTPOIRV0dw1k4gCrYEOcfuDbUS+X4IXAL4kEGhd8h9b
zUBy1x6CDpGiezNcPCkGkwY5L4SzHnk8EhRzOlKuDncO9caLEjlTQh7wVll/Wttnx/qi5bSB+sBU
4vZzmc0oQ+oGZBQtoU5zFnhQf53iWm191VoWBGVHyqm8QvEcjHOjTH12c/9NNh0NnAgxfQluL83G
V6BXyrGUThRSRuDyK1SzW7c008bAtBIb2YL8a10ayxkL1Z0AuxEFLgZafe425Ak/xtUYLOAGpmAJ
qxi9P9j9O9W+61cNT1DpsQe/hZLMWvCqVzuBrhbbWF8WZK6GoeHlqynHxlQa31VL9Y3SxNbOoFu3
G0walOx4dFJRXXNLdNoCwILEEPSpHVeHRZm791gXCAqNY6n/UOpCLRm9M4KUl+boJ6gevC+Nuv5Q
ixn8FJGjz8iiwugx5dl5x4mZvtz+0lsLA89Gdt2IKOYaKJzVWmabNQjLVFPsT7kFPg37AwV1XByW
yxSk58TFuBOVtwaFr45RGAecJ+aqgKP2ba6kTjgELpv5nMbVtxw47bHD2fg+FEiQRWG8dxNsXOWQ
gg1IArJ7QD3ickuHabu0XaaQaXhR+dWuhj+zpq7u0Pcpn5RuCO8Tzcn8FlWfxyzMXm6v8ka3huyY
44jPJjQVvE4uR4dsHXYaDsBcDuXQBkXbVG+S2Yk8f65m6w7pgPxQhOp4mhKtHs8Ix4zB2KIZgpmT
2+2c7o2YLt9g9GukXTjIj8sfkyhTHg25xjcv2vyeEDu9GSP9e+c084M9iT334604Cw4deN4vvsSa
okl5MkwVMQ3Bsljd3yKGIom/UW0drVFME5ZxU/IYlb31ZrFq79XYKwAz1H1oadMwIku5nOpiqGk1
RB58SzF7d16slomPq1Dve15THBsx7nRO5He8LHgxHi1ceujS9GWNCsyKOta8nvFITacj2tXLWbGb
6pRZTr/zRthaVkgZlH0BL/M/5J//9tRLy2XOio7NkTj6mBxb10LLnWIohuFte+ah0r1gw6UqhzZ1
9NdHDdrU6JrRlQL/uPZz1fWoyoqIsftSsU+90nnDsajn8dnl/xUHs0y7h8kW7vH2Mdo4w4B3aHoS
PGQFYfU10WLBRUdvuqCKErs8Zyqk8dRUqCEkoTJ9mBxjFHeDrhgf57jxMuySzL0Xy8aqgwahCGzL
phxUjstVt0crcxclxEUTeYqTN+cfHShSx3HR+5Nae/W9W5lx0HJ5392e+8bOAhdBx4Iyr9TaWcXM
MHEab+zyLkBtwP3WqIp5l896TZOq7HcuZX1zktJVVB4cgOKrrVWqixsuqnRzmxzrR1N18QOdKf2u
GfLhfun6OIgjOz44WlL+0Xe5baOqBUxjUc1ZPWRuCK8fNa/xfpgmIyjRSkb4eS4dYE+p0f4paiO+
A75qvx3R1zACvOuGbwW23SPruYwPfZ4InJJ4NvgUpUqcrW1xjmdcQG6v6OYsJeOT4h90rjUu03Xj
sfLasQsaS6k+KdP4kDuFPR8atphPb31WYFpMyzM11z26jNwlqzABeomnD6HJg1632kV6mbhx47Rd
0Omh+5XI+VEYsHUAv4JOsGL98+2ZbmRZVMBo8FE2gau8tuzrRerG5JFdYCMCkB9gcPa6X5TTj9vD
bG1RAETMS6pj87K7PBuOaMOhjJUuUEU/IfCQFUnkW3U7P9SutqdKuRULgNTKW8yFbqfLP/8t/HVK
lWIBsvCyU8z5c+OaTfl+6cJQPSB8aDyP1KNmf6C0YBxmXtfHMbOqncvl2oQEmw/alohlIzVKmrw6
Jwpi0cNgaAKNA0xVDwgBhHrqe5jxPtlLCd6liYzmD92ozOLZiWf9WOcdBmBC77SfWT1nLxoU9Z+3
P8JGbkWOSzuIxB2s4zpAoWeTi9xoGpS7nfFJKjSgIGt1pyIq52PStJimegNqb68eFfa0RC/BiyXL
Xn36WM9wLsgUEQx1a3+RTnIGMO3Q/KjWujn7NE28xyzuq9dPlr4xkFUKWFL2ZdU0aNxmALcaM2zq
qnCXWq9/yioaOAdPjQq4JRlQDW6q+9fPFswNXSTq6PCB5UH4be8ZKipIdrjUwVBa3hdL6BMPCTNM
AxTio/qkdmV/sqdo1/RmI2yAOiFhlr1W2EOrZ5laak3mIpoe1Bln69nQ2lIgFezlP2Zq6B9Sr8HH
PDf6/NzPZmnjF0FHQbpYCh2ke7w8ENdTJ9AWRFZ9w2mrxs+6wTb9pVKil9trtBEMfr0dZfObT7PO
hDQri8faG2te7qWuDr6Ze8n8DqKlt0BRDftmLyBsDUgYp83Iw5rQuoqpINhqiup5HaiIfiHJXI/5
Y5PXyUPRNdEeBnXjlHG4qFPILcCWX+2AfnJbN+a6D8Iwtb60jf25qpfi2U2KKJjEUJ8SEe1lABtf
H5cZMr1f1W82/OWum2lUmhlOGcFcKSHgxLx1MMBW88hPbDF+Ed74H5TBpfsdTDUeCrIUcDliEanm
0nVFQyErHjP4E+nSnWN0EuHIJp4X+wt6S88OVL3iYVyEqWBf3Oj691fvJOTCYQHT55Y59WqtE7oP
YdEIEWgFAOPZaQwfQiRxLNan4XR7rK01dmio81j/leKtNpGXUxDgOIsgTpvhQ6Tl8+dMHQrE9l0X
GlEd71TyNvYR4ma461lEbIj2+uUKOyalDjAovAhzTby362FSINGnMebddpe+FXVIhucOwx75ZiMj
gAEIYATwBry0dZcXnf3U0ltaYwnom2NsJ3qguTyOb6/mxpGEE0z5mt6CgSr7Kjwnqpc4Xla3AVLB
1aFqzPkhbZ0UOfpMvH4h6XzRRCCnkmOu0oGlmrtiMPou8EpLCD/KAHZlVeR+YAVe4BQ5JxgO0fHV
8/NMyRXG+JwtswZsA5hWMRKtugAC9/IOTZTpISxCBSyglu5cORsb04PGQm71r6t9tZRuljWVKWpS
uL6L/x6Lojlqqao+QQFyPpSV3vx5e2pb49Ft4Hknswgq55cbs8/Lpuk1piYm0+mOXKzpcmaNvUdS
Kv3jBBl5L75dE8JoPkA+s2S5TOqlruaoZVaSD/NAkU7Pa8UfnXmcTyN18CL1k0Gr0kC0qvFZS5wl
u9cGirqnaBbdXTSoJJqmUEPDx/ne0n801uQ0UA2t9MUNrWY+FbWKRHo0NmnxfuE8jj6i/uG7qC2j
v+Ku7jw/VbwK/ObifskrtyiQDCr16M7NaQTupI1XZ56TwA0OkgicOU2lVVTl6Tb1iDkzTXAv71Ou
qGAyGkSzanM5Y8D0k3X4fPtrXg+JvjNlCc467Pwr0aV4AQGZlZUViBSnyEdASTzfzNxdPJ8aQbOc
lIw056EHyrOXGV5FGrqn9F54unKD0EhbRe82VV0MrCIraNMKNmjUuFOQhGyA155FOQ6BlPcAjXaM
lC83bOuGVa6LzEJ5bxxnf26m5jAqOOrNk1vsPHSuDgdjwXgBkciFRM67Ggs7sNLBcswKUiMM71yj
dv5sGgP7wTg8VkXPNXj7822MJzNNMMC8FxGrWN38ulM0ip6whhSUCqX3BR4Yf8cxHnCnImcLf/SM
Eqb67UGvnscSg0trn+4zCNmrSgcKDI2Wli2DqpFz36hpGyx1WgRNk/TBDFznYGVG+VaPDPd8e2S5
JS5ex4wME0Xy0dhwmMFcfsrKAPXaJqkdtLFQPg8RQLVzWioWtkt11JxuD3Yt7cZofEtpNEpGRxf6
crRW73O1zj1oJ56W137bxeaTyEEx+mQd6XvVheToh3qk8zwXelPzPk+Vtxr2GR8SMy3+1kXheZh5
zIURwJHBGAFMUR/fZ2lD2uv1rvesZrFW+/jPTQ89ct+tr3cqcEkn7KrUVxUU5Q58v/SbXWXz19vT
u6480/BQpXoxdTMJLVu9Uc3YImHz5JshStQnqAL66HvoNFX8zCZt/HFye+vI065+7K3GEgdntprU
V6bEQX6lMpxi5+teV5fkL4IiTr+BKgEFkMsFxyYwxhwFbrEHum088lGz9oRX4qIcPQ2kJaqrC2+S
sgWZ4A+NyF+wZ88WdCeqNIG0r6KH09giRtcEDHzp21VUVMEyqaZ6SqAhZIekTdN3pVBzxBYNe/5K
vduq/U7HRVbS0b1Ps+4k+iHPzJj3kmZ398kyeom/JJYGuSfO6p136vWOdpA9J1ogrUfZcF2smHMB
42ou6wD2HyqolZ6fm6ID77Bg0nD7g1/HChhItHN4CtHKv+KsigZeCNbcyMm7Tf81HkwbApetHWxs
cmJf5TG4Eyc2dxhdLt4IMlUw9NWrtEEMtJAo2EDv0vHIDQ9GNm+yI4kRnM6hbAJFuKofp4t1XABw
nEsMHPHDqZJ/Ab7+6+f0f6KX6t2/QkT7P//NX/+sEH9Porhb/eX/vK1fyo9d8/LSPX+v/1v+o//v
b738B//nOfnZVG31d7f+uy7+If79/x4/+N59v/iLY9kl3fy+f2nmDy8tmuO/BuCXyr/z//cP/9fL
r3/Lp7l++ec/flZ92cl/W5RU5T/+/Uf3f/3zH7JD9l+//+v//Wdvvhf8Y3fJj+Z73n1v1v/Iy/e2
++c/FOt/k8TR4/6/zH3JjuM6tu2vXNRcBfXN4E6o1l047OhzIkSToZ4URVEU9fVv+dStW5VZD3VQ
b/SAg8BJRKZlyxS599qrwakIp2FwE7AHqJ9//xXUBuiXb18eRtI3bjNl01z/918c/68goaJLgIQK
nS64s3/5L8FQXf7tVze7JMw3AL6BG2P95e9v7pdv6R/f2n9ROdwzCPnFf/8FZfqvz8ctVeZmuHN7
h2jgISCyf90Syq2qW29k35ZF6t22Gx+Hq/U6MxIh52klY+KnX91+2NfxdrQKyQnLVd4VwSE66J/e
cfmad+O9uKOP/c4491/tl5V4Rf+41WnwqZ7nkvB3kZox3emYp1Fhx+OuKhB6e9h2y1cNl3A408bV
vk/4he/99/re/W4KdvKO9ntUJ4BTrIXYz9PjfBR7IxNpdJ6TPoMHVtzvumf7Mh4RN3hpd07GrmAJ
pf29TvllQsSTTMLHIW0Kt4qjjJ7ZRT2pNcZvxGU7hvl6BJ1px6/G2fm093AFyVQ+H/28u/MynpcJ
knZScx9kdex/t/dsj3d55xyConwerrCFiz7Db4MRaOFrJEoX0gfKguIA0skk3PN9iYvOZDpHmVeY
T9V65vsxuv+QJ2AieNnqrr7X++isn3ELj/gM33ZKs3K3kWbvx2bqHeg5IAEZs/6hfLR3LMcbjEX8
OMRBOqTj0dw7xzqBgXRW34WP5Z5m2F5jN5nJkKuftMwQ+16/egXbW1mUGelcyFN5mVokgx3KH0HR
5e7D1ifrpe7J7BHYXRKkg8AatIH5hIknrJD1ifek+ugt0LRjdfB2SH+JabYeHLyv9QigD56pb/MD
VKGOi0wp4r1ux6FoLuMBwqiBgLtWwEwnhivzbiY9bku7gxVWNhQsrw72nj6KH8YdgJt7XOElyqyS
mGm9MzUJcdth9JpD8Xl1Ci4IDF+j2HiBDPSs8vBbn6aZLC/RtSLri3OYH6ZzCMQNrE5gXWYR4Y16
xCjMO6hmUjMZc4TlZPI93Ov9TOMk8tPhYJ2NB6zPBTNQem6GIsgswk7490kT26TK/AMYeGYW4BvJ
+2R8E8Qi/LLcN5zUM3HucNNgL+8na1FLMkFC87iWWU0zY8jMJh6PS6ZiOZDhw0vWhOd1gqiy6nQ/
xMSN2bXNNtJnQdF/ZfNjVRH/2aZJ1Z5UiNv0g6UYq4VpGcN0JIUFVbwEeBf8x3DaDjSbz6wi8JqD
tQueNywj+Cbt1oC41tlHAFVHjx2yBcgEkyj/VQYTnuRvww6Ijr778uABAfTi1SlgQjOT+0+RBfGK
cekBoVIxkn2TGZkOT8tFP3hP6P1CCs9TOEug4CS9jhlsJT/BcCXrU5+GVlxMLN3WWNsx4uHN/jjw
hC4QnswE2d9iISraw11s1oX5iXCduMHaNdMyx2hQv/P99kJN0kb7KgXAFLftvvxkj2BBI4GXpj78
Ttc9392Ccd77fXP2Hvl3Y/uFDh7KuwD70pzpPT26+Zw55k/viae2SMRZPowJDWLLycR5OQGB78h2
8p7dzIqbuE/8FeJQLGNmZRQ+iqjCenckjZsYcDcBC8ipd7AigT+n15387dEdg2TJIT3b4xEm/pNp
x5YkC7ugVQ5mKKV7EsI0+MTu3a8QYpN0zYSI7T1vshrStf7UvzcPxs7P0TBTYvB8/TYSHZs8fWEs
hjC2Jd3FSPFQ7+qaIDFgdt5xf81XMSW2++LDuCQefo7Ti5F2btLlmFwQlBFb4SJyLzw5fUo/FEKU
/SKI4r4pyXRYwRx9W+OVIJfsyuMwqSyAiAfHKqIthQc2VsSM24doL+tFD17csR8oxSwM+1TSl59l
02dO5jzIrRjq+xV24sveTrtnH3/nzT0E9ok+8WE3vMiXZvPICOfzYlSxiXI2N09T6Mc/Aj8PGiKe
uzrz/efbrNZ8gU0mKxSqIBgZYmLeJyZNtlcZJd6WMz/udjp6x73WD4DRw0I9qIfgGWsqpljdd/PV
XGIxEsMn036+dMlDsLO8WEL1FLMw0+qrDo9VdKkQa/ciXsyLCeu7DGJ9aWQtmXO4QBc3IuKTcR9e
RfEVJQDhB0gdiRhPhvsenEwDbkKv/Cw7RuB1U6qTVV1p5pwl8gc8Qn8E8kkOoAnxILf9NmaLEa+f
baxzyshAgl2T9DEgvatKdeqXOg5OgEywkB/xOq+IILzUgUeYym6qrMSo91Mqx5MdnfyPgeBlkzZd
YPNT77BvEBi8U//FQU67k3N/SS2eMk1QUYcnNbgJ9reBkwCElufeJ8Nb5BJ/JvZwal5N+mqdp/mH
Ve3QQsjqKL4dBHPz8dObnqKz1x3kfoiOrpknPJUED5VMljV+WtJUfQ4i9VsIlOKWrJy4L9X2tZys
fibjaCcVNsp0PC1hjM09xrIHPWmE/jWpLjKbW5voBURteKfe48RCY/ApQrKF9Nlt3Azk5hcjqdWJ
yqR7KNvYGDEIS2lugEOwlzuVwLD8I7yGd5hTI6f5xLsYslD7Az/mU7+HJ9zZi4eEfwA72uFS+FLH
2E97eAYTAa/6Ytz5OF3cH/VOfoycqIP8cO5V4R48lyDxbfVJd8+OIU/4q/LuEYOSwMwzw2dVsWNl
wZrjf2qXmMWEFqjGQoPypS6wVscmbiQJVOGFadDlfNy1zR6BrJIVs/ei7Lj6krtySlYkHxspHfbw
EutWKDbzfb2/TXo6spzgNu+1RBZN8h4WwJctlvlhpvx9Od+bbN+reJ2TL/Pm2Jb/UYz+R2X5Ixvw
3++V9i/Vef6T3cpZ8ftf+v+wHIcU+9/V40+0mX9+/dehAXjIhn8uyv/4h3+ryq2/YqgBu22g1ujT
btyk/y3Kw79iig4XSlhxozIHnwiV9/8U5b751xBTgpu7AXq8m0Tsf4tyN8Kv0IHdABNgRBC4/Qc1
+W+xpx58gIDbw4sEcV0A1eBb+mtFvg0lczHNGuKsfRhOI7mLi8PlkHxHSfFnKkHgj3ixfwA+t4tB
TQ8+Ed45bgU+3G8X62YglNKCP6gdaF6jo58CrE3d4/SmoxEZOXy/o8NkVIIl3VRbz9aAwy00RnfX
m2XQ3G2qCr/Ljlnfq6BsbzR+tdO9DrJ1CJrHsFJjugrWTw/btq15QPl4bxqhf/DBqX2lik85i0Yc
vt48ojdlnjZ/NOvc/PDh39PEajSwFc49LZPQxTST2CuGfAmHL4kmSBNbnNxXhvuAGZmMzl0EV8UE
8ZIzJVuwrmVSOcu47KJq8K1s6Nrw1ZbQ0iVstsFDlb3eMC4uh+jnyEpfFXPlVSwtS8N10kibEMJP
ndnCyEGAoR1PFsKhUrrwkWcVH1ZvZwTuEl7tqBYNKSFMXcFlHoIAyURi6PZmYPS4fbLiiRqcNaeD
CqOnEsReAR9pXhVz5GtcIlqHt5pt/VlxYDdEK4yDChrC/2WzQ10mYwgIkoDktZwGD2PkWMFIH5sw
EkeCfHDcMi3tqYbJkaqCY8s49GMYswV9vJYIRs+8xRVdHPWu/prB9S2BdsNoNB9hGTHd16q05p1u
zRmMYxpEE2mQHfzAVOSfbXtEtO5KGQT32ihX4tX9amU2j+Cc6TcufVscrxn3E5y4vVhvm4XiRzsf
1jz44QXwvUbkC+R0bewJMafuBjZH1vamwrbe1eM52FwqHze2wl0P6AxFgxgMkdhhKGB+mJbUuQlH
GLAGNWSAMSCzQB2Am4VvNWJ+u7gtK5QcGyxpCnTRztNmwR0obgc2XxY1OhM2ab95jMCttNBmGvRT
jZ76WmqfvzKtzJMb9E3BvSo4gJ48GERWSxAkKlrCgdSmv+0ijEIeEZIyXJEjzSUsupogcYaaHzDP
ajH77QP7YeyHKSu5rbd01gz7vICR3zOzJn4/MQcHdBkpUSBUBTiMqFoUb5Dble/e0KyfjBsijKNQ
bLlkzCxBDJigN2nXyMfx3AYc4rHBKpFto+n7sLVd4beG88wtGQEbBuz+cyo9AS/RNkA9V0NMa8bw
03yvas/ecLKV7NJMGBZNGNvx1KqD4MwjamtidubWkqWJLEYkMOYKRxfMxWPplO17iAgvmQNppdmk
VnXyMV6473xJVaa8eoUlIchnp1B4ERhwWsiZbJCtejvEGvcnA1HDZkbx2H7A1QtOtt2wWH+W1PDr
YANz8RsSD0T1xpADrfd33Hiwuhlh9L5F+umWYFn405+5Qfxfr3CzgkB2JKKTf2fhC9HxCd6d6Pkm
Mm1BYVbtn2Cxf3aF3zZe0MsVAkdwhQFaK3wGiMz+X64AqStAzxsR93d+ubVVAsvFs4gMEsNzCyQX
/ckV/uDp/eP0gPMBSAEhmFgQqWOK/i88PoiVa+60JdbBzNz1VMvRfNjEEL40lWtYB3PiI8UnQ0Fr
dyE9UbcpUxuBFyfLqzyehDcpS8YRfPKycrCq4LFp6u11shbk5/CVTlZeeo25Hk3DxPjD6jsowf6p
PPgfROyfEbBfMVt8AqweMDsDD4rYmyb4t8EnZ93KYTViERhvHM35K4y6vcvMlKn/LOflb1fCnANq
MkSC/au8xnAtUZtwbiO2Hh/LcGoPS7BdaD1syb//SL8ien+/kINYOmjJIXH+bWVtPfWHhtY2caWf
DA0CvxR7biL1+u8v8693DlbRsF0Avxzf/b88hCtEp6HG0ICA7gdJqMninoZvKxyPDNX9ybV+HaLe
PhKQU6itbj9u5pq/DYqaoJtdEzYBRIbrjrYZB5C1jghaEof6z3z8fgPV/7gYPtTNIPqW6Azqy68l
UecjEjVc0Q6sgxP3/jOMwXBGYI5DePgeLNep2ofD0UFz8u9v6G0G/Us19selw5vsFMw6DGwhm/v1
0sodQWKjYNlw25OPiCBofYxToz5AmyurM1XR6sRM98GX3Rv9vprpdnXUwtJZrNxN3KluWIGDvjnD
zMa34Sg+0jquGeycAftI43VUQ58vSNseYhtH4qG15PikIxurxZPt/FjqxnorNxH9KEO/RRMfDnwk
tsfLJrH8HvivMciKpo3jK5241QiNaIvh3rEdt3nHQlR3QEHV8tGPivrwdbbVkz+GaxBP3ELH5onw
6qGRFtdqDlxERnB3W/eDWZrOoRqV+TGPY3Pfd6XYiOHAnAbAorHtzTEQLnGaqLk6svqJ86HSIOtQ
GZFqjcaQVHqGrwyGmtaDEqDUHGQ42v4+Wiv+wDeECu5WWMVnejTEV6Or+d6DNyySh2paDEHVp+48
WED2Wl2zRIwwlMoX6Tsnx1VI6cOUcTQxNQkRaBkuzADMCuER3DOZNX7APxud+QbnRxSekAWs53Hj
IhnhXzechkkv77BVZwdYkzhJzbl5iRwByHOyWcKAyR/DraxjY0E5FcMVp20T0ErY2Y7YMmTLAq3Z
Q7X2gFNazgUApk6w9SQMAQe3yheLUcVWKVagrFDYyBwUUwlgsgsCnThQCD6MNKgAHDdh9xZt0b7F
fld47AZVhpNzQWEYPSiKPTy3qjLrhzqITWkQLDsnQKacVR6NKUKI01ACSxibjirwieGALHiwJivY
5nvJKg2gdKoAObpjSx8VnprU4J2/wjwC28dRwtSAEdsGAAJbNNXnW+gbz6O9LUABpBTp4rcSoCiM
pOt7FA9BzEXLw8xv/RHgTcOmk5yXLRWG0XZkdqZmZ49lza5y1uaYraWO5AGBtP45qkO+UwgnHwoK
Iqp+7LB2nFzh5fyK1NbQoVbpOcY1j7Pb9Km0q+0wzRQorhiVLjyEHkXw/rOBKVWaYSqJClFlYjYD
GHGopW5zjy+qtwlrwEw+w6hftJ8L1MNWWq7lbBTai3r1ACJR+y4YWC0HZy2DXU832iVrxHoMIIfI
e/Q7OjXH2YGTIwE1cwA5xJ/aH3ybW9CMXAkpdrLgVM9d9GQrQvvmHomY1hQYOwp7G5kw1JcvtIsm
N2tsoRKndOaMujp6qN2hyzztLoJg1jO/271bZy4S6QtDq+l+BXkT5bM7ftvWbbRvIuGhaY2wgEE4
EHJuqtSrGoGHa+3DJbFAHZ2SpuESGJUsl0Lo0HgSZWvbCBEcTECfyEX/YjIKr2W5NEaMVPbtZXIc
1ZNg7DcMcVqbxV5p0ixQi7cX9rgBtseumy2inF99pw7fteYWJQHcaHPDn+f7RWKa6RlesxF74sO+
AR/CeA9EjZBAKhojlZURdbAfKldg8/ZaGamPeA9gONjklrzbenF0N/3C6Fi/D9NAj4gC3D7bxi/D
HASuiKVohbmO3aE2Vb4adgu111g2T7oBb5wMwphyD3SyCab4Lqx6zN4cvtXMw6QbHRVdF2AGfm5G
Y+8dTElX+1wHjbBSyxkbnXTeNG9Hz21MDLeMCsKMwVsjXsBxZzNBwKXrBR2m4iewPHr5PEhPlTTB
zNzlQL+a0QU42mBQJbFFZ2Vbm1Bqrfb6iPdNE3Cy1bvZrsv4NqNbwpABEBvwQlX72by0GmmAbUDd
ooaXi0kmmO/klFsqt0tl8TwIWvblw+hMk6C1p/3AJwODCm1saQCWsEsWUxjX2gyGKjMj2jxt5eA9
Ubl6qW7puI9GC76VTFZVwsNZP4ej42MwKBrzZOhtlY8Ygnc2zAMovZ8NxEVIzEc/lLTChsgIfkwA
A7fRSU2ITZ2nPpybmK7VeOinCraBbAbne8dLS01px/QWAVHc9Kge0Pu1G0YJTcOyYN5s9z6YXTG8
ziVH0Lbb2LK5QPSB6cIgTRA9Bmb96GVt0SRsPO7eK9SPR271ywUd2OYWFld2WdgK6t1qsas7eNH4
V6ifbTfe/BHjjNAqF2DzzWzgsON69at3f8L3ehe4SFkhAA7WENHxm1UVq+LaBsrNRjRavloPwbRU
BRNjVJ30YkGKgDZ82mmQxx+GcYlGPDmIujlUnvQgwzRZdN9XCm6KK/Klxr1eh76KkSoG73drruQQ
SzjSYghWGhE4GJX2+6wVPfB2gEdbd0CIWo/JBfCL6xLhaSmAw2JKgrNhKjwAL8PdFDGRN2blvQyV
jVi5FqCDykprmYtNWcMLoly21w0bQJBVbkMzYYS6hRtBu+x471t4ShBOUiM1vrbA65vk/bwhefkI
vd2K1K9F37KIxTpxwnTkXN15o7izq8pHKF7eq7kBv67UZQNkX5hoCUoHMLNdppsMIZDQqCpy5OPo
hljtinKETAj/A9IAJTgJNovl9bY1K+lhZgUm1GJZxy7y1Yx5HCvp1WVuMKadXMyHoQY5LIcGQ2LE
a05RcOc5uroaaFJopsbNfdrq+opt2moxYFkkL3i5yva166pI3Q1G38YBSP13fDTc8NhUAhMK2MdP
8sBsdFEZYH+ABDN18K43E3pNUFAxdhzg2hGXSNfdL2bXg1aC0mqFUeXwA1rPHs/dEipgOkJ1mNU4
DQJprW51U4eDj/BhGNxKoVQ0fQBVo1m4Xi+74wCmiFc0oQM5rjW1lkLlWUUAzY2Ia0A2lifAkCrf
0clzcGhgV/KsZguT23Xqo/DOt7Z2OExrGNEYOU/2eLP3r3ZtaeIlpmXDnDZCYgRBkCzLF5AWO+y1
U2cVoGQ23q7aZEf3ouvaJORqrlOYsHXV1So3uSRA+DrMlDYQ0weDVhlsMzAnCkb9GAoqlgfT82Kr
ado9IqPhsg1sJlEVZrimV9/VLuI7SxXVWTX3PC4hys0qPP0D4dJ08Q2vawEmkZPCdxkesgyJzMfO
6k3xzQ1MQO0FNmaKN14OCbNBcdZ2LYLQSjEsl2VQHOG7C7QwhfSC+e7mTPo28HXssJHIMTW2RR8G
gRQoEs6R28dAc2Ejp3zh9q8K+ElNOBvAMxNMW0d7FhOq3sZdjqaemX2KOhfcrVVC7tHicEVhYETV
jnZ+1xLWKf+wLsq/b8ttuF91wMJ3BQvH6jkywTuyxRa1ONL84K2syimrnXFLe5hUoJgwzDdjhawi
BhItLqtjU9iZDMI/2IMVAnQIW5ZGEYiHMW/r0M7C0nDiWsOQfzcuNxNFxsaV7l3IIj9utmqxNdjU
eEMbJbfYbUZtPAS0xoSSbg1oZ7j3+n1uy05/2QEt+Yc1MavJZABmYwLK1jQ8QDuCLWTmI8IfJsRQ
7mzAuAnrQmtIgPVFKSRVWmK2u9bxagvnUeoBfQJIvnqvARLuDKuBPXXolkZ4xImxxD1U3y0JXM6/
qQtzuRDIJllbTPw6jKMwI6eaOm5KI7+GN9U2GbtOc0TCsLoq2qgtz2tj9o+jyGaU8jA9j0gTLXgA
zNWZhzN0zUCqrQ7yRYI6coOn6FaVaDe6Lbgou4UYSm0ivAt5S1N0Gd6dNDV6KHeQ333j9U945MI8
GLvwIKLRzoxQGN9WhScrxtaMjGUzKtUeztQcEbcrIjlS7P/VJ4T7MufbNhpP0ukc+MKwsISDPjKH
MTEFpTiztgb2kxpk/+V5BL8cXVjUhgR2lH06eYZowbXDkHeau+4oerD2UswEqBXPnNl5Oa3lBmbc
pqtdb9RuE1tiMPNBwfMRTs6LaneGrwJ7N7W8QnRm7zMH0+NpfG2mgPZI5EXUUDpvkoENIDd1YLXt
6B22xRoqf1n2cS8gpQKPXelPnAZIaO1gidUgut609xW/9V2NGHBVOmOI2y9B0Vazipk5+qIY26pW
1xDsdIBjvg0OQtvzDx6I5QRXJy8vgy5KShbJlYAWXLKjNBr1ai7zMpEA+VbSTqj0Z2yb1bwGEPD2
LT8yoOjBfi7Bc32caQh4csb3GaTcGbtXWO5NXYxaZLmuS+9cjLUUP0JhmWtar/52qGpzPixe777D
l7ia4sqFvcNpU8pEZEkzT/XVLxHcjGPSbZAZKA19MJZKq5S75nrXwQytQEbnpG69SbeSioNAgjCP
6XOkjTwbxkTFDqhj9+FWLgf3BPQgBHCN2aatsjt5vN7eEHwwBeDhTU6LRtVAS4gw2Zd2tmyE4+DY
7eMFGD04QsuGcfuM82cG3cKOEojUofJhPscRIILx6LRK+bs2Qh0/Cw81QyT7RPcd/hhFC2iWC4gP
a9tfR2utUtPkQSrBI6NEUTOEv0Zd/WiBrj2OeoR6Btb56y2Kp7mwSZjPk4WWlUJgfPaARaU9Ag5B
D2xY+QZ6bQCAzuKH0G6mu3pjuOw6VnxMQesG28Yfm++e9Qo1+RqteeTW+s5fNPry2Z/gFm/hTEyo
38xnzVw77zzfEk/M9fS+FnWTIA/d3jI8cl4V97BpiAflf/rCNk4dsPWWQPFELyhJ2ZuEz5hA6SXQ
yW4CBZDrlJXENlGNfwgq0WliKGTv4Hvp5f6yimPXdP0RK9pKFHPBrWGSXxybWY8w5MY0GmWCB3SD
tA5kMVgbvSXgOsi3b2w01h5+Y5GblX6tdhr1OwWxhlLoyuAemuPV3LuudjrQRyEaJuhknU94a3Sp
mjjbKRiZqJiOQllgkqAXKUF3fgv5YBSwkLyRrSDWqGHYY+DI6J1yW1PEsI4jCjsmEo794Nkwugh2
oF31iqBHl+1sYdxIPNynMFYdwyTq4UFFFthyXowmXN8MBCxdfW5VsWdU66HHsOao4JqMRQdO+R0L
/aFYtNNdp3IOUhMDpZgGPTvPookKv4sWsAjQvGNsPkn4p82++iGlNyRzYAu/aFd8XwkWgSezuja7
IB1NBO7BvdGCKGTFG4gbTssn7q9hDqdiI/GRu4Tpn0b9ze32UDdiKyoMCXbTGsmSsMiZE6oWsUc4
0PoIq8X2UoM7C9KDd4vVbJphnMjgGVuyAId/kL2C6c0ikCa6+gsYVrzRXcHsEogFRDgxL6Xwwe2z
VGYpyPFJoFnZIO1KLl0y1AhLcCdTB7HSETgJTLT4vLS31othhzXaZD4dXbnMSThifFhC2Z57Cvua
Z+nRIRg54B+JaBiekbxkd3mH/UMTy+urzBnhrIckJJzVkEYvR2pFCPZd5sn7WYmOpTjp6Q+JEL+5
Cdsrwk6c5TRuEpoIFM9Poe6Ch0FCoICyNZDd5xZG44tG6sCSGVto9ve4HXh81nHRcCJa2RjPMuzx
cxtAeN98UE7UDRtEHbCGZu7aLNBF086mPtLK8t5Z41rYjIGLJpODxiK72bcpgvrVTk3dmVESWfA3
jeup7DJeLziOZr58LqUvU+QX37tWWyH0eUQnBfNitRzlgkcnMMB3WvBM3QvqhT99DWRKD7Zy4tmu
t9eIlu5rKbS6AgRDLxm1Hj2EeLoswJVChoTCqW9KamljGLdhYJOqZmseymhrs8lpAnDOadlkI+bS
oJz0WATphHkSzN2CmnuxAVuYo7dgiBqHEPde/En3iC3HJB7VL1YeQSO2Lg/lNpHx2ThikNcOuWmN
5k4wDPmzrkOjJo4mVD5pNBhfs5blRib04z9L6RtWasDtOqZwVQfhZ9oOagoYJpNQgtUFEnPFe+AO
bm4GDCFLkjUaGiwLl1bC0XiyzWW62MZondceX1zUmTLtbrZN5tAo1EPWXN65DB7xhHMEoMZIydq8
09iIRzbK9yCcltMW2vrqLlFz3LS7YZe1MFrbe3l96bD8Cl3CciKeXNTjeTB58nVraBDszXlYb9kc
nJ2AyWuUhwxNE+za650Voo9F/8T9Z/SGaq9CCo5/p9alqMCh/hpRVM4ETsYDtOJYGqC/mGDJAp2C
+5PlzoBPuuV5Rh380TMf38Pko3VMkctd90kdMjBaAxM92YmGjEbFNLXgxtTjKhd4+lJ+qlWI3Rcl
G5zR2k3Tp2iwaitpQEg4r/USIb5FOtg4uDuDwthGfAnuHAdxg+EyI+gDjPGOg3TgqQ9bqga8SxHI
nV33IspL1Prv0Gn4eT0u3bvhuOGYBMq2QMZpVzND8wDr4IZHZzyWl64GclDDNYB4zeqVu2iSrpdF
oukpoaiToyxAPXQauxkZAlU5RkkLdcvr2CxuPMEQFqTAaChfJrQ8UWzLUK2E4St79gHCBpgUtcK5
OgzD4nJp3Z2PyJQ5M5UxlMhYDlE2OYstkA5RlwpRMr0LYNBR/nQqKx1+AdD8yezhUtZdA44k8p/O
2mtAR9wwiu/TCiFND87syryZ7Obb6Tt4DZeiROEZGgOkGQHDxJloHQ1H3XYtuLtGXW2EC49iTuEz
/V6N4QAvECbXZxeRrpyUcNE8WA6FCEHK3nJ29jaaMpebAQf2UAnY8biDD7sr6cq5S/sK4pusNWrd
pZM1YD45m8ZSPiKoE/4vQVNtS4YBc6kJBoLlKayim3tTAylJ3lGovoxmtqEGHCodFfUAfP+utvxI
k+r/kHaeO25jXbq+oSHAHP6SiiVVjvYfwpE5Z179eViDM1+JEkR4puF2u9Fub+689lpvKDVwZZU5
BL8kkuOtEwlJcAzVtNBWruoNxk4ZhlDYglPRfwBxkDo7J3ICA4kJzjbP0jF69HCjf8n1BDxgw8o+
NkbDdxi5J0Z7CyMMwSk1kizIr/q5Hj7ggScYK3L2Dal/hszmkVp0PxK/ArpVKEXxoyVNN/6ueWjF
Dy1x7z7lDOx3KYCBGnSgLD9KXqZHKO+l0oswRbs7D0B9tbMyBS2lOk3XqiAk96WrV88NPEry5oUo
/UFdxd/0qQSp2NLShBx8r+SNI+p+eIwZ9w28Q50MtCTiRtwEt2pbu+M2FrzysfLkZtcBJeAZBWX/
vnbF4IGwrrtLlaqdtF/6nISCaPC79N79nQ4N2DEhhBPmUKv1KrtMQ63filnSqQekjsHe6ZX7lio4
RiXwZc0jsBkQhWZNFv6pkdnYTsAifkvGlJARz2eB0AD3mLeyGaJhHRVNjH9xi+UvIAnyp3YjeOFb
gNAFbw2y+Sk4WHc16mp19GqXg9mIiox716QClPU/aCxCDV0wi2dhFEpcLXKNyho31h81gS4UJ6G5
Sjkr6m2rm+YaVZuad7BZ+QlexWP+XA+j2jlxFinyMdAagMw1L1cYNY00rny3qrqtIo5DsLEgxIe2
P+aYGHm1FWPTHYF9yXrDx0U4UgWGps22OC4U3xINt123EfK9aNXds4heFbdrDN/b/WPlufCYCFW5
Ca3fwYSd1koMUvWYzEGv9SCE9RSXeMoxkvinkjqrcNoepRcbq6pQQW4j8d9DgITYyjYxTzMUeUaP
mrL1SlbwvvXjFxeVhmyF2CxyAp1X5cxiBoKk7hseGnl4SPyh3lWZbgBTqYbmMKQkQo6iq1reRrWG
orzJ667O902YQiVXmeo7FVMQUJVNG4625UatbJfyKHgHKJtUCJN0rI8qbs7phhkPyJ/xpIjvxRRc
Sp5SGFqBaZlIlBgTkaDHNIizPSvznUjN8KmYLl2vNll5uoUYrWOyu79T6JNCoJpyCdsLShkiJ1JP
gJmO8kuVhOl9a6REgqiATJUrXm+bntxotA2NmHshhZoEmjkoh/BGQkX2Q4rk4CB0aP7fI3zUSDZE
YbiOqS/deFbYBZgmZYVsR9QjfkZSkQabshzj7j3PqVnYiDD4wbbMFS7bMjCydYu7K6U6sjaPeYcB
o2+FffSYUp6jZ2btxQ9SrZmPQSDX6U0cIu2AZZAhvI5VLt7DDx4LW0xIG2lRkUCJEEfA0yNizAQ6
lt7fJujrvyvilAr3hBqrIyWN9SNryd0QR4kIKtVNetPXkvqTiJMRQh8vL3fUul6zqkGJQ4qV2rCr
pDLGrYzIQb0KPS+UXwpCMclB6XTy4wCgRnuN0DsUjjydKoFuDrZuChzXCGgKb5gZF7vQ4Eq1kyAe
fjJx0m1gVGH0PaLb4IIDGapDpccUV9rIH0ncGcpzV5vClHQE8R9JFQkBLSy7cKo9tXuo5l6E4mSe
Q+SutPEl1II2XsVd37/WgxKs8sGD3Eu6+pEqevg9rYsSjfg0KXE6r/NoB8kQFFivgRuPWat24iId
scZdJXxOpaEw7S6PMkC0MP+eE5Fw4DauhS5+qjMXv5XEjEfexq0pDRsgDCjSx2VlkUhMvVgkGjH0
ic8gxnskt2uKNYj3BbjVx9UelZsq+5lTxBleBT2V/KfKTaKOJespsTMM6MTYmll2r20bJsHK7YP0
tep6ixi5MsmiU10XBDsNSJtvxtYS/MfarWGjBlgWf1M8L9nn4ujvVD9T4HCG8fgWVIoK7rGPnn0t
J6+kuh0iBAA7G7JtjSyiFVIE0KFJx+Tise48KbiLNMEXn3x/YIWHrC3joHFl75NkkIKbkCozb1Kf
0bcHU25+gOCs76SoKwB0VZb+GMicw05X1MmD6RnVs8KzHwC40CK34tZ6/uh5OAgdO1lONzEyDN90
AqHKbnuXXGMoBgoPnAr2RWRiUNV4VQB9Ca+XzpG5t/uDMHoBdBnV66tV1jfBg+LFyriPNbfI3osx
7O7iQEfEL/WiGPoGCARblKr6pdb08mXQ8W6zVT0XSPYH2Y05FqW/Gi1BTmxLaSINlS3eEMDXI5lk
Ut4kRxJ68SPfLiCNr0q1+isamvKAuE/5IOkEJrJajG9Icvq3iAugT0rJHRGduL3RSZuITCeVA6hH
pTB4W8SmgFwPSmyWqV3EodE/hWFN5dMQS/kxTBv5tyrm0Mr8QGk3UQyo81tADEjucwAXAYq+nqyr
AtJqWtgcqbkZ36W8MQ+Yj2mk1UsRH+e0cKNtV4oBVCw9UDayGoqPbSa3WznQYUwlwaC+ulXMCds2
HEhGXTT+ruFNTNUyqaSd3Kg8soLUqicvTM9CizEf/3JlSQBX89JcuRhm/qiasrwFWug/ZH0EqpBl
BdNAJ/+XIbsFEhKGTZ03T4VcYBEVNMEGceX+Dldw+UMqa+mo95K2LnL+qILqveukiHxDhysoIcZy
l2+GKhtYJWqa2C2KXe1aaYXQvKH007+TKUo3RM7iaCdDXh9KxfduDS033sRGDykzyM1d3jXWLvAi
6p0xNWjeK5JHAp/CGNQfl8L/b/aSu27zynoIS/Q/xNjlgzxd2XiJJN4jdQqEElUuc5VwnLw3IsG9
yNJcg2mEeVi7vpz8dT1iv2PQgXW88Uy58lduzHm8I0gHAetjHLWPOzd5DqWq+66kgQfJRu8gm3ge
ikwPfuDm1Q4cX3oT1qq+6y3iXFQo+4wVLQrJ0wC+gXJmWIR/RNkdv8mVRmVEpNJW7khXDq/FKNbi
rU8FkLFQk9zdd0oD4hbOsvIHzcN664rIhK+UOoSUlgpR/OR5JlkHgCzSU0cOk0iKrJtdRXKbbnyB
sqeV1DHMgUAxXxNkd7W13jYYo1ZhAMitTZJmhaT5mO5dyxP8VdIYubAhoshLJ6ZGuEtjb4xfhmDs
7VZIuqNMXIeYacQpB62p1g7g/hppG49J+qCZBDmDKykmmVepQhatEl3ilmniNm5FUH1PntP0vrdj
IbNRSrwwRpEqAgY/rXfbBBVgaejTdfumZ4RZljdUvY1QrNbvJ/F6ss4miTS2eMEjUhgx0OSYRPiy
0mXbp6Q7Iru21od8y3kRPbi9EQU3kVdHT36TUpZnKg6aZoyvVNu96m6SxAnJHyrejvqn95ILAfuq
a8I7T9JJUgPU80CUEKeHGyMVeMLyqGdfjAxY4whEzzAxEDy1h94vf5Vt1CWOntXtdy3UOLTcwk8e
qqy2+lVEfQueV5hma5OqRPrU0OqTOqTJweUYu+MJo983dV8+SgH6h7YsplQs2qTaWC7qEy4SlK0z
NjlknCks3IRZpRprX9aSXWNyDjuoV4lPFM5I/Bb8WVBFNdXdD1w27U2t6819V7TgG+NiMv8oNTOJ
7J7MQoKepg6tRlKb7EEJVfm2TwVfOYCty/q9ogekuMxSzB6EOo0o7rRsFSr9AW+Norz3SlVjb3Tp
NiS+OUiuP/5wy6h7LmuAlHYzat2xxKW2WqNc7VoOzgSFvMlRTTFtKUdhksy1/KYTeb8DOUeF0dUU
yg5qIf1oMneEL0U+Mnvo8z5aq0iTm4Rog3rTRUFpvce9WB5TbZz4e0yLsinVpMANvhag5BiI2Kxj
MY7uw5YB2hAmSCa5pbTSqZniDvJIFcIfnkESxOUHYU9ZATUr/J1W+tHfShRNYZtYSus/8JTHS7Eh
nlkpVawnjtii2WaXKtox66mMq9mFbkJBbIHhPHEMRCCXxIz7Y0DHucQf99WQmp5qIaamjLj4DWgf
Jrqtxv0nr3jJEPBzc3c8YkeNdAQ105hjOWnxJN0IFTVdK6Nco/S1AMG/JgCISPQdw0BWj7AFitBJ
AMa9KrmnvqlIma4iFLNgB/Ipu1Lt84oCRGaGvBYlMlN8ce8fsBHr360xCvRNYOmluObEtQBicRl6
75ZZmr+9YZSjfdplpJFAJ5bpmgC+jxy429LtYJWENhJyLx91qoY/gz5VfhRmWwmAwVLzuw+yCUmJ
Ik9Kqvme+dunfGFxxFN/IYXaGYUjgKnm6BJKykR+mNyH9QAVQgKXgWiFgZnUDvaE9UgKExiI7JnB
c5uUYn4XIZ2MF/wAidwe1C5v7xMVuTtfavtfIvfqHyUr/MFpI5lzJ7PkaZ2HZv8h55L6PBSCFFNl
DwJ3N4VnBtVCUksb8tn6YHdyKoVHsGipjCCIKYmrQLbqj5LX5CHs/ajcZ1WLrUDDQT0gG0oxGaIF
PvMUE1qyB0ntWdB/1cKLHIQbtGg9ji6578gTqjel6dWffkqA7+BL43KZcLXWNwHCIPqe2nn/iGR1
k23/q+7HtEnLliM8iJQMGWm1/Ws2lVLbPhnop6hJza2kNyFyN173Q8ZOiRysKC6oiZyjeg3k9cB9
oHhlgCGeQUOzTsI8qxnQdqyehkC+Tdi4ljHur2NQLwBtqUWKJoVQpPlVdcY9EvPQRSk9pBov+44o
PAUozVnZHbXcfMlo5QLW1cLZA10kqi8I3c46BD4rj6uEjO7o82IT3Zcocx+v9+bCmKHWiJKNodAf
hE9O4bSakqP3FNGEkj/mxks6rkniX2/iHAVtIm4iotCHXI+pfpK5vuhRRn4GFsYvVIrS3QpPFTuI
tiIw2dFXFuDB5hk22BQnwWmM6BGEwNn8tDNpYSiWG2RgSXLXDknrdYHIE2Gn978S8yawFuHI01yf
gPt1hkxGBggHD4TmJyrcV6lNVBWjEpytalfx6LSTgol0k5bbwLoNg1vPW7eUe/XN9eE8n7EJ9gyG
TdYQmUYz47RN2aOoaYGNs7P2Sc6aXZvC7m7W1xv5hIuf9mxSysUTj0c0VL+5Yl1vCBlAEmLofNVB
sde3LSR9wRZsycZ0ziHIXFlw+y0HdVOnXvdOBz+dQbdJlThwjG13bay0VbPARTjfEXwWwh8S6G9j
0g067Xxuxk1Q6nyWZN33zVttLgj1KZOWx1m/GVkZx0JYj/MZFWKPLLUJbadYT/1uVwihObIzaRuM
9n/6DX/NoULqgI9Z/XevwVo63sp1yKU6+cIOkibRoZOvmsD2cHoMXVTQSppLXUodns1mIqG7OOwD
ihLeiopnWDn6c7WR7tydgAWfjeGK8+rbz7+XBn0mfQfmftb8tO++7OBWDNvMDWleQGsKxMIjxkLp
/vt95tQ2tDMUEIK9u8l3v4Cy2Mgh2HeD/RfishMuTP/MFnf6kk9FWwgpANh1TvrTL6lIuxt9qSMl
UmE9K4lOm72Hmu6UA5YMsgpMHGk+pf0hV28V+RRS0vsgNBYk8s6OGcgpMHm4Y2TdxPB5uiG+DIeU
JbABrJGcp6LdZ36+asT6aQgRfuoE6UEuwhUVqAULpE9KxekSoFHMIXRJRCWbasBpo3psAdn1JWor
oXVXFu95RxCJS9FjJWTHIYXI3+l31HFJbWsl8Fi1fuhNxamU6JgW467yvNvc65+uHxOX5oOvUhDK
EhkMaCenX1VWA8VO2F+2W//McvUgErproYrub3Zr6o3j9aYtpM2rJcf3gjaVlpSfsiotcF8uTogl
kufBtQOx5dmEGAiWDV4P1LpIQOpqwspCKKDDl4cE2S4icwdo7Nf1np9FAdMa+NLkbEvI5QDuI6XJ
koWvkSgTfbujRtuU3S7zF478s1Nv1ths7nvNAxjf0RhqyJS6EurfBq/Q6z06u1doBIqaoWH8qMhM
5ulUgqMdwiZFuQZj+DW1pm0egc3mCXG9mbNoAFc8HF0MjfMb4yZ9toM9Q6hroUbi29PMhyEV/2KA
REotqV7H0cjerjd2NnBY3puIfkPBmox15spNsla2lRZGqL1n3xT1gGjfv//5RE4sf4aNE2G2/HML
aCm6byZJu+xnTUpj7IyFLpyNF1342sTUxS+HjRAKWAlS/bFFIFU8Re2wMxy8mWqAEtc7c74ALBVx
fZPoScdbSZ0tgDxRCqFGzdgWAnEr8SDxlPaNLf9wvZnzzUozqESKsqJgrDZ3hM5qT25r7CZtQ3qr
w00CHiUFhQMDoPkw8n+Twp4uDIJ1CaLaRIuDITfrVCe0fm0VHilrWrXVoNm3bruO+uQxQuulTceF
G+psuqb2EFKQOaf55/woCgKTdLoku7aa/Wx16S7u66d0iJEz9BYMRM9aonNsIDqFRKSO3PtsYUyV
4DTUcd2rjEd+Z7bz2pIqd6gguFWLCyv9LAIhIpIxviWIR9sBGuhpa2LZlw1oV847FJfUZ0n728G1
wg55CFHmaT/StltfXydny3FqUTVYIhYRjzY/j5oiSSIPC0o7C1UHRdp1o/1x0fb551Z4wiHygP4k
Ag/za5VU7iBbqQ6Qo7/r829a6ZL3WogXLswUbZjMFSYMvIVmpwTF4tyEjs/DRziaJMrU8saI34fm
7XpXZoYPLIfJfIUIkWolMtMoLJ7OUVsrgykh8mmDppOO8P3RRzaKfh/3SngYGu2vq3Q1OHnyuXmL
Qc0ApbGkQrqWQ7dfWJ1n96PJc1WnHjGdugTrs2Orq4rY6g1Js0NZ7QDngGkxE1V5UdQ2xqRFJtmn
NulC9M7+oosnURLNokkioyRIRIK2/+kQFKAhW6WAErparQ6r1e3qcMuvNtOPzcbe7Pe2zT9uN5sN
v7L39ra299ut/bTlp///lw795Kf9ZG/5z3v++cTv4/eup//OT870w+Gv1fST49gr5/FxtePHYUdb
q+kn/nb4Mf2W6bdO/7L6fXh7fDv8PuSrnH87HPjx+zD9L3znYWG3nq84bIAmAyADTRI8VWbDoDak
jimrgvBBOzoqf8niuHGjo6u/XF9y57OsqAoSjRrsY2DLc/F7DwPasaxBDWesujZv4SJqhwRwF6JA
ufX3emOXOsUmRTxZNVTanXUqUdoukNBst6MYPUVf3MOvBmTcHfFU2l1v6nwZKThZ6DIq37pOBDEL
KCMP78XRSw07iaNV5r7hsbMiQehAf0D47xcIhOvtnZ91WKEwWzpCl0A753xqX4qUXAl9wx5btTyI
bhKvgChkN72QtAvH6vlBTlPWpERPvKIRwp7ukKDSPVWrImiJrYlOOcUG1MuHZNUPOMfaVD/1G88Y
2gMwnDcDFM7Cefs5dKc7FCzfFGZwqCvTDXbafqv5qdjHCWlxO7O///erWkGxktfUmk/Ztht4qKvE
+dNt4Bcoa/cZVtu2O3R2Y79hn2H//W063gYdtBthYddMZ9L80xD6VEh5THtGnmbpS6g1gtAMsR0x
bWwRqVOgCqAsxVjnTaA2bn5KQiCEe7Zh+naIAIQ1iOi1FhVpaMHFgsLup9XWaS9Om5i20Zde5JLZ
GPiRsnYDKd2hwjastCFr9iUAW6cYwLkoUvobr8HC6dL4XmnEwrm+mi9s1Ong4bWKNBPv49kXJDFa
0mrLF0iU5BzETY6ZjvJmOnzE+IP8e1sgtpCBIh/LU3z2nICRMVA24WkU1/5KEm5E6zZJiLaq/2M7
8umolkILJxxpd+5WQM7SrQuCKECZpogXgoVLK2SyGcBuWuT6FGf7o3DjyGskUC9FJj0WufcrNJbW
+YXTBmIz4Q4mIsa01E/70vkRmOKYVAJqzEiKK62jyX1l+1qxsNmlafRna/GkpdlK6JEQMP2MUWtU
GI7Bw8jC8//UggpiPHGEkpxw86MC568LS01fOMJpWuP+oxDAL2adDBv0DoAwcqxIL4F3D9QC3dOi
esCGRgTIoAbHrL0R+20OJ7h88ssjwKoGLVq0MLMf19foZ975fBj+8y2zYVDDOkD6imHgWwakXeu7
TPzuogmjaEcI3zoWm/0zyqNu2AJIWevRZhgWQqMLy4rIUJdB9OosrnlEILW6kuklw5GXokR1Lee+
Bq92vaMXNr4uqVyYiMCRopsnxhoA+WhPUC+Da/hXzrQNXIk/kJTXhe7/e1OTlJzCMSPz9pkk776e
coXXFeiuK7pNQf69DYbHvNIOYGt/uVG+dGif7xdeCEjOUezhVsAs4rQtoZMLPMenVawI26IwfymR
jKqD9e1fR49meBBjjMw5Js3ddoYWUOaAYYqNaurR7xPQPrA/smFN7mEhm3jpFp5e+pQvgATxZJ2W
y5dLwlKFqshbn+Qc6QTzMafCuvdkReje4zovwo0SUq9eU4k031XkMUPAFSO3lRBEHdKs3hDsIcXr
iGuS67l1y7z7g9KdNR6hecE9MgBCJKss0Xjs1FiN+huQC/HfwYVGutLRsX+TIaU/iGVs3bBkkHbM
2659yf0SymCv6JiDqXkab1UlRKpV8oPy1dBH76UK6vAbheN6H6Z988c1wnoPP6wP//mwn8oe/wkE
Zvu1Htuug0howv8V4lUS9Z4TZmK3G5GPWFeZ2L9cn/kLBwRVblkiMCNPZVAlO52OLAW43Zgpmtmg
8nUlv8FSANOGDtUTEE3IRIGrekFk40kNe3zU4SZl6SGDmm/AepHk8PH695yH9ToFR4QE8PMga6LN
FrxVjmEcGIKL5K36pKoeLOUSPYJqF47+hzlKC9Hv+dlEvyH5UNTi3caSPO29F+W6IDeiACghcI94
MP3txnpcWPJnm5jC0fRQwf8W3Uh93qeix/YuVNDE40m0kpqbsWadmsO/rpxZK7NjaUAia2xDWmkH
uEbUIxq0SQaqZoa4cADO52hKN0o886Up+cPTYRrULzu4taCoNboWO4I2POR5QnEeuWwwB5WZObqx
VOqcD9/UnIyJFFVOzEhI4J4259dxjOITgolG4+NSUf3iVHB0QVy4pi42w9uV9x3q/rjonjZDHUoS
k96ECRrm5JRg1Enlg+UvJCek+Yr77M2ngigrgjh8tuKMQE801Yc15ZqptjaLKHzivfMxRl6IblOD
vACojVB/z8CD2O2ow0tJgKjX4J17t7D2UQWJ/9/23Gf6mJQoqqbkxrGrOO15ouVSMAK+clqFSoKP
6PV4p9WOhLOA9XK9qfk1/dkUhupE5gwosdFpU2kY5H4VhYkDQFG6JVJyHTeF4icNkds5bkWGfmGx
XhpvjhPe7JoxeX9Oj9Ivi1VyE6GEEYJQR9u3NjDGalvn2ZK5iHRpT0yvSjYF7w4m9rQZhC7dcrJa
c+ClyuIN8qW+dZsKgGm3Hur6RbwtxRsdNmWl/nLNta9+88u92zyAErg+wmcF22mIv37JbIij0Au8
ENE+J3qjIDeuyp8IKzuj86dBENoW9v5Re/DX5rrZ6XfDwuq+NApTIpB4k/ywZM22atvKRdVOK8ma
QLFWNtppjYiigVYgYDUIKtPwX+/vxSZ50ePHMRUOPt8BX+bX7w2KYfCg0MnfWM0Npmb8/X3Q8LII
F5o6e99+7t0vbc2OWDXQ0d5SaWvAQSLxd2mLoGjgiONdjbKB8jhkkY2V1/UOnpXA563OBlV3PeCL
5C2cLoniFlKaEd7KUlYRxpvDLSI9yr3k6mSocSzKUe9o0L6LddHde6LUPiIWDPZzlCcBNaEX95bU
lsi1l5VZQOBqUJaPBUv65VfeRAD1FFitXWgh6SIr+c6NAu/VR7oKBxABrYHAbbXv17t36URgxRB8
gidBfHF27JLFUyTNZLkKYe5I2g6DngBtjnGhmWnVf30HTYPI64D7l2oZt9e0jL4sE6uLi0HKgIXr
ibQt0ckFRbkeULu53puLS0TXuSpUWZoSeLPd52k66hcldyIc5xjv987X/lJGgw8yuOS6NxZCXWu3
KuonNPgaw2lTSZFwZUz8enX9U5RLXSa0g/CMHCsWcLOTbxzCVuNNBOFxI6iOu5dWZELsfv1LWnlr
LDcevbVyYwy2ENuyidR7uA+BnkBQt+N9fxhQgG/sZv0sH4vn1Fl62MzfyNN8fPk4Y5YLVKSsQ16H
jxtBvhZQy609H+mr2w6dg3YhsbEwEvM11nkcWMI0EmAJ0EbrhFL8I3WF+YT0RbzwlDq7b0g9SRLv
I55LnIL6bKFJCE3hdZuxAETl3Riqx4rI5frMXmpC1jC8pSDG9M4LfSIaHb0VDcRdeaODG5VrBwHw
pXvkrJXZDM0OuzwZDT2ZZkh/LP21dJDXJnirJrCzzbBJ76AMrv5e79fSNM0OuiEQoqwAk+0o3lOt
7nP0ZaOFoZOndTU/B76uu6nXX84BVcv0HA1o6CHPH8Eam6NV9F12/Puj5DyMuwcXaqqtHoONsvY2
13t3MfL72vTsaNBGyM+FTNPNX+Nl/Gjvf2I2sCUbffOQbHsnyhdm8PJwctZRB6NuMb8Z5ZwMhtZw
Gcfa3z59kJtDsBRcXWwCkV5obRNW9DMq+jKajYXxXFcSzIraMOkx2JhdrqN8Kat7Vl78PC0AA37C
kEyqIqezJqO7JTefKwOBGKDIP730V9LER7niiBri36WEp4yKknkCMw4RL/gTDwuzNzVxtnC+BMmz
2YtisZYgA7A4625ymyjfRUvoNshsI0EaQ4x2NfVZLFFPEsXg0GuB8M1ABiaRGn0tDVCfr3/PpWuT
QhRDMuW8eBmdjoiIeECkTIF0qPyppXUHswuoFbCn/1szs0PAhXvTQXglmMzusHHP3dsG4ZRBu7/e
zOUJJvmgU4YijJtfz00XR0FVRInjRUa4Qf8AAQLA5cPwYjXvfhrfljArCjF4Rxpik8bjXpM/Fj7h
4o305RNmiRBJCn0vUfkEw1v5L2Zuh75N4mhdrO9lwX7vVt6zNNjV3tq34AsXbqhLUSxCpBhugtvA
P262wFsPnTRVI7Ks1d+m+cZis/tsWwa/YRBd7+fFbn5paXYAKnKHGMAUw5a1hjDGh+83yF4hM1Rk
u6Dp9rnbLUzuxYvEADUpT+AbauOnSxWJzbZUpvgV6Aq+R1E/rEpIWgsr9dJRBCyOHAsQIu0M3CUO
gVqLeBkj0bUKo9e+YiMuaXdfjO6oAlNawuSPEsbsEEAC1lALgehO9JyOGunw1pibEsM6EQ0K0mHG
ynCfrs+XdGnCvrY5nQRfzlgvgIMmWLQpR/jmoTnIUZPD2r9T3E0hw+u/9wtn4CQSPqBjx11jZyIQ
LQT/9yiSLtwpF+9PzJkxLjdJGJChO/0aK61EcDNTfJsdPBQ81D9u/4gSMBm7Tn7WXRsmPcKeejnZ
GcHHcE1W1k3TrPPuWwx8O1y4VS+dgyra8LoFUAdP3NmMWH1GHiXm+aCJf8bqI9exA8lNR6XEdH0e
1IstgXdSJRVjYwDwpz03LNfzS52WqjWkmJ26JXzYSKsYDIDd7rTNB8jwjXEf2NadYFdbytcpqO1v
KDROVnx2f5DWMITuTFSw7F39MRBktG/j1rUf85V766/frn/vpf0AcQPrGAxkpLMgsYmqqtfUjvCN
Nx8rZwweTPF/sec4MS2ycyBfePGcDgnC1VkTQFty0kHbGVpxa2TSTpCqhcNxeqjMr16C0SmxoqDc
PIc6os2ZebFFbqWr0smMtoOg2qZdeENqOlkpZQ3Ft5Fh4g+1OGk4++n79bG8uO+BmdBHyDcsstkq
46IVStJkPFJ37nd8pvufvb5CsVzYoK6xhFK8NHPkpKeqMpBYoGinoyqFdWMgEMHTqNtYyncowCLq
9td7dOlQ+drG7ExGDymnXjJtG28FhDqSdzK6NWG2KbBNVPbXG/v84vkEfm1tducYup76oUePgpIX
Js3BOLTbbx/ZFj0TW/+doXxMEOWQUT6Ozo32e9j9a6J/iiApVpkGbKYpAzCbwSZ0M3KEfEI5shka
Gb25JlxYJhcn7ksb0wny9aROhJ5LnDZccyy3E6kKwTj/p5FUS0mvs5bgDIM4oF5HoZl9NxtQXxRU
vQ3aFNFFYxsgNycbySqqxs31iTtrhkEDDcCCp6AKAnN22Cco4o56w8YTir3XfhPdLfjv601cWohf
m5j++5cxK3IFoymNJgoeXoJ7HKk7jsg+iw5SajYGltebu9ijL2na2YmlFBH6/uXUXCujL27d+pN2
djA+XW/mYq++NDPbwlCg9QJlAbbwJDW/MsoS8vm7Xr1Ywj43Fvp0MXj+mvGdbWbZC+B6d7RGpqGO
P0YPYG7ySuzs5++1uca7yDb/iMUezYWF2ZsWwNnG/rLiZwvEzSIDCW4umfilyu70+r4fb8XwPnj+
9+H8unlniyQxuwLVFzroRs9eBf0xAwiMBjZV0S1R80KnLl03VB8VHUVB4PvWbBurbZ/KXttzVHwk
GSVPW/6G+enT4EEsu96vS6vR4HFOPYS4AnO608VfarVeI39IOKkdzHAby6joLVzR08eezdB/mvi8
2b7sL3lQyqIrphnq3sfuNyasUukk5fZ6Ry6F+F86cpZqCORIafCWQIssQ5Ktwm9ydb2FS0P1Ca/V
dZADpL1Oh0qLcmoLmkSooRy1Hn/QcaUrC724NPGfZU2RZDQ509k+snoO2krWifAGCgjbMclJ8je2
jItqn29h9K8wPrjerYuRxdc2Zye5nkYIbWu0KSATp6Z4cGAACwQy2YB2qLy7rsQzbGGBT2M1WxPT
/QGXU4HUJc7ToULthaWfWpPJTAYPP0YN7k849PZY/lTc3fUOflb0zhvjTc8VglmXNlvjwYQpC0qX
momjOu0zauuA5FAd6t6CQ40xeHIzOukTpKke9d0Ha29tm9S20I8M13gSL72zLyXh6Pv/fI4+yzvr
Gby8UqDv6DJvccx+8dbRrbuzhVtMeG+CZ/Hpev8XG5zdOF43oNYd0n+EcMw98lt4stY7g6b6Nxeb
9Hz7e6HFaZleGXFdPt0qY5e4Souel9MhdwptdnJqDjcPI9n+1EH6d2FnXnoSngzpbNv4TdfhQ0R7
9ao+KsexxTkZCImd3quO+CO78+x3vVzdMcWgjLEqkBeilMUhnu2h1C8zvco+P6C6reQNa0zf/PJu
3ilruJDKavC7wkKl88K6hgtLrsoQsSIFQD0dWF8OVg3lm9RoixzSX87cuisdVTs0GVsDVJ/22wwp
gGofOSkjC48fFRcG1EMi668SjrcJWcym2qn90TKea3Gvm09ek65RTFkZ1SapFu6A8/0+fSr8RJ1z
bUKqnn6qGFgIROAUhaz4OuiepOQb6YsWAwW9/3N97U0jfbL0AO1gbAYclpTweVaysoRRr3wdifMs
4y2BqiyI+TFfODSnoT1rBQw5lS1uzrPzC2R5rqcBSA2jTMabKqte0W0Zt0Kqv/57dwDsyOL0Fpsy
HqcD1yq1C1WLoqHoez8SMrqj7C3MzVmkyIgBhuOJTp4e2YDZ3KS1oMTk/ShN5d8G5bkekaahLIDI
Xxq8afr/YuRI+pMuAY0kG/LsMFZSHMpHraRyFJRvmuQdTb98s7x8Icd4FnTA4hSnUiugRZpSZocs
fiPCGCE25/S4oQir1H2IqlVnLWzBpVZmJ6up9arfx2lNzninDX9rlKzSlWeNC7flUjOz4xQhtnSQ
MNp2cmh8e7EKfgltWuDvFP6RAMwszNBSa7Mll6C4ZXF214S6f3X0g4MXvbr5f6SdaW/cRtO1fxEB
7stXkrNolyxblvOFcOyY+77z1z8X9QLJDIfvEPaNJEAMwSp2d3V3ddWpc2C4/l3HZoGICgkBPjoF
5x12engZtYnYBKQziR8oO7XQfRdZui1vWx3LiZX55ydWwsEKuiKJoS8dIehpzYOcoVUmzFWajfFc
7qJ5PIQY8DIQti93UZ6koSJ1WCI1SZrZQS/eS783uIb1JEBvf332tqzNPz8Z10SPEw3NeMRQNXeK
19V2WdQ0HnVSswemAgFkr0MyDffzn7jiyTAX27eNVToyfYZZja/QRYNgp70YXlpZ2TiVLiJhNjDw
LIunPy2XIEPPR6gaXdtkIVsrMz2I9wzekKGNRtIu5j4D6+SmpuX0SnL8/YkFOQECjxYyTsWF85eh
6sdShfM3wyMhWlC9+tKNn/4dIC1Af8zGIC9j749R/mduETfkWSN3Yoc5I4C5UnuEDpXc+dFTnrX+
SxjO/cHE/P/bEBc7ryuoXiQJNpH3cQwVxTgiX+gLYeAzXsytd9lFFwQECSwkwD7IO2iUW+LthoHu
U1PLG8cKv2gitctDjYJLBr+3ci/J3DoAQsyZFW7DUy9RaAvDy73fl54uFBjuvOxerP6KzO958QVF
ZUdIkIIs2R+KcDPCJAyH6AFSLTfX2kOXKoc6QHbPavdojaC0pux1cCHX12Ce4/P44XxSFt7dlLWf
KQLePfG0kr1Pmf4Otvm6jfl3XNig+xtQmkbKcVknqapK9yqY+RwhaCoYijNqAgh12B0ynTtY8R55
fm6V9i5LRfOknxhdHExdakwiem2Ng8rRlwiRLyNo3SKbKVLzPX0qTkfZLSq/FVSoI+2XEk8PqvQl
Af6sGJ2bzeISynRfednh+mSsu+HJhy0OLlH324GAE5KzAQSk8BUK7a47JOMPFfQPNPh+8WCkt93v
9jZ+eD+YTyD1YKAoW50fY/AmD0EkzfMxZEfNaI6y6R/rrNga3gWo5GPeZ8w6nc3SRc+rRSKd8ieb
Gqozx+sSQE3driGnrdEDC5/QZzhp3c6IX8Yp2LB9GXHPS/6f6cUZpvYI1lrzGdbq3W1YluiubF0G
q9vlxMTiyMp6OW6LmMWzmgGKaJUjJLYLVfqjI+PEzuLI6CHtlqORoaDq3bjxkRrar/AIhPa+OmbH
zHSe5VfTnmXNnfY4frruoluDXLhKkc3ip0CRnTAe3NqKoDmvd/2YbsSsqxfryRgXOxQ9tNao54vV
DG+0aW/mnyyunvg+at1KPLbxy/82quW+aywFVDJTmkhujVa8DvHsz+smNhxwmVCJ0BdHdpJgSMg/
D8rTZhC5+vt5TlLLpNTIWXq+hxWIO2sU7RhC9tRUr6X1JzEHHA+ANuf2jGWoo6ddbiQ1Z0Qjxvd9
rNuKFL1qxWfobo6VntyhYPT39RmbXeniajixuPCBMtXF0pKxqI8U6Z1ReC6Fo5b/9JoNZ1v16RND
i9XvLdFHpxNDgfnU1pqjQmxMs+UfjIb3Ps0zFJovkDtxPwmRqqBCTBoIpRGaucQxye1AfBdRaWsm
cWO95lPgYvZgJQT2NLPELTt2IF71vDyt5kGhCvYVXmbdQlr15vqo5jW4tAKpEw5hweCymDqBbJJv
6kydT6N/1QD4SSCWgmYLSVHyTbaQb7xgVp3C/Nfgsjc+aHJgoz0Gy/xgyo9VtWvyf0Tzs6RvjGzL
0OLV7KPz4A/lPDKhJLR3aRZCOU2WHLQsrs/hBZHffP2S952JDNi8PE3Ot25qjL4/Bg0hX2bDV3mr
3+rOsIc6NDyGdmfHN9pDv3+Mbr89z4x+7ftrfde6yZ12KPfopcHhRv59Y0tclqLPv2lJoVmIfVUp
el0709O7sPNvlWNzl78kX9GbuZseo6/hzbR7QQdRey7vfJeaz7DVbXOZrpw/YW6zmemVeF8tViCu
ClRKrbZ2RvKCt8phcAO3p9cHLkNab57hED0EGwiKyxztwqZ8vhRjgsitDi2q87c/OdL98FV8Hp/F
99L9lkEbODqSjRLUrQrVQXTUNjzug0JiuZlOB7x41vWWEllW1jHg2xk3k++80YkPgtPv+2ftwDP2
Pnk09+ZGBL76BDk1uwiNIPCxvCLGLHVCt9xB+nBLa6Pl1D/uy8/qEw2orv5guKIrH8qNQ+qj3efa
kBe3VjOWvTgqzDe9GfvJfjOehv3fnyBK3OuudCs+i0+WoxxUd7Tjr6/tngh9k69w7Qg7Hf4inIKb
s+p1BNkc+QHpvcBtdp8me9gLzsfWy/bpe3EwbpWd5V7f9uvzDsUE6PS5yWvZ7w0GYqz9jnk37AjX
gs+C/Hv3ruxh2thDznIXjUCjotJJ9x4lro37aC1eUE6sL1e9TmhPNLHuyaqtdjsZbaPrA1yzMPf1
Q/wAoRxRw/leomE5xJ2H2kkQJQZt7ESbFY35ZFy6jwqoCoDHzDe5RKtIWdJHoYiJurIltzxySDd/
4zl3P7K3wv7Hv/E/j3Zw0zrJm7k1gWsX7Knthd+oiONNkodtCw51lCf8zA1IHQhbVchVPwGHRzM4
mC6IhhfzqHdVFZcThqA6mX5Ydu1oT+l35BUd7SWxtQqe087Jv5Eg6e3xsHkqrUVHp+YXjgLFbJjq
wzzHSGX9GN7jh6iyaX/y6RK0TSf+rvDQSJ9+Xnee1aSTQSuiztEPan7ZHxKhAo8susL0Sm9GYpvx
P7px38WfY/kt0twgvu3UDX9dvfNOTc4nxUm+0giVPugiTCJzE790RxrynjI3uytu4mOv2TCQSY+Q
T3QOkupUJaMdOg3BF2o314e+4tTQViu0x5Cj5am8uPe8qk6DoaSoPuhf8tyx0qdCPZBTNIFYtOWT
uRWZriwwcC86H2gj12AaWNiT5dHMdKmsHFCC3WGwALghMYNKdp9soVBXjgQIcmkxpcBGvmcJlErC
WZxOrCuHovveLMbvkypuRFOrozkxsVjELEQuYUJEGNXf0m7Q52n6p248XF+ilb0/00lTUiO6hrVy
MWU6yg2IoGNkQic39+Ndy3Difep9u25nbRdgiMQYPGyk7ZevOl9KIYprm8rpJZimKPgHdqceZmpO
6BKlGzN5KILX6zbX1mgmmET/jV4VyK7OdwG8WkUUd23l1Ga6z7ziJjGq/XUTa3kuhvWfDfncxqQF
epbE2IiRA0GWiue3k2eF3SC30LgTKnsoojX7wN9gXlpzDvC3Ck4OdsW6uJIsdPEsE6yIMj563j9Q
uuTtr+tjW3UNxBsk1gyqsGVuXhzyMRu7rnKa4nNp0bKo/DASCAW7t+t21ofyn53FsRwgcp+miLsg
QOTEyqPaPkrNVmQ4L8PieoV6CAZl2v1gA7Xmbzg5EAUjTBBcmr0vzV+myJsbXfO3akKlhBZV/zj6
00S/dpHd51JwU1nKN4s2WjebUPe9PtoPfPrlp0BsIFNm4aZfXIJIgiqeFKNB1SUI19m1ZdRvPeLq
zwYi4T9GNRtkJ+oLA4kmXYvdrs7MxyAOaPtrhbhE0SrKjvzy/JDFxoygIS65H8y6h2HJ0v3cRqX8
2bfoDgyFYjiEeVPeF4HffNF0UUdIsy9o2hJ9LXzOBlX76Zux9bUZZeqcw2i8wZqPoBMC5+1L6MUS
DlyhZTogVNvI0VPezikrrxhNWy67cJ/HY/6rD9B6sk3YuXY+OPpnKSt5OZdSK9/KbWuGG3fKB8R8
MX9wpdMAQAeACr3ZfOmcLGUvNNNoVmPlZLrgmPkXpniXD+l+siCeNqEbGpVbYqm/fe2XWDav5ojw
jRx95cJwUw1ECqjTrPorRmlUrXuaj9F8QT/4+iKvuDQQedgOSA/PHWQLd0sAkIglCsKO3IR3PeiU
PB9uB+PrdSsr1+uZlXkDn8xEOJlZq4lYseoCucFArQKE9MC72qIeTjdI3MafkBo+oGEKS8HQbzTI
rQySPQVfKjkT8TKaoxEh90WTfQsw5D6RwD8L2T0CUX9wDbLUNIrRdoADzemNk1Gi7pjqRTRVTtAa
T4XYubRZB7ShbPJ0rOT0LfqxyFugXgPp42JjTqXUd0Y6n3fWqO9Qeac6NSIDXwL6ea18gsbJz+Hn
T5AyQZIn28lt5n++vqQrZy7JJ0IlbmLQGsv+irIbo7Ip5nOKeKlrf6GtYqvabvB+/W92FtdWhThg
oQBShs8n2Vt6eS9q3luUmLe9NQUbh+9K/onBcOdDnafP8ff5AgbeUCTR7KZVTrpQeY2KmF6/fdd/
Gfxx//vjOrW1GJfqBbxFR2wJ1q1VHbSgeRD9+8QQbv7ADvUlAnrShRdMgNBZanBE4SthIJsvANrR
cRZq6ZeltzTe6Fr25bq9lVDGknijQexLK4O4JBnIhjic6KNjq6f0oSn9p7TfSpStbOczE4vTpGvU
0hotztW+zOkxlfaWNLpNV//B0UizPG2PRC20sy68wQ9NKR/n7axWf1cIyg/eayT8c322LpQCOHcZ
y39GFm6Q+oFWg2+tnNL4qLugazrE75l4I0lflOQw69kVndM3j611AKB/3fpKGgbjvHlEmIsuGdxQ
600yMHCE1HptG+qxh4qm9x9jkqGBi2DwxoW4dgsgUgLMj9wBN+L885PzMe3g6RhhzEaNor/xIvUg
DcNfYCqg7OruVTWDrES90ZT+7foo1zxy5mhCtIVeZI7Lc7OF5wuxXjPKaIBfR84fFe0PHkBzo9m/
JhaBYYIoqKLPrqKJ4Usnpp+iYAa4bvV4rjk+qwXzN8kraFIXHknuKp4MFKUcCa7qKZ/2cjHdWOno
Xp8wY80veAERDUDJCh55MWOlQUZWVvPKaQMJOebEYsFQdNBmjfq40vZdoOlIr5fDq9kW3WORQAec
yCXMjZXAR9qhGDZoa4tBDS//0JSGjRxe7ooaYptOFUTxsyYkyoNAAnSXTHJxmGkPUHAQxeHe64zp
VgWU/HWYZHQeS8srvzaele7MQEobm7aE8B7l8enFUvvicx1Z020H1s3tmmIybfImBq2oU8NfVYoi
ihyeC6lm+yQ3fiha4ne7XM7zo5BJlusPgfdswmPIXSkb/T5Rh8zRCrU7KOVgId1HPw4lleC56pRw
L0qldyNk3k2cC/KNIWg7qZiUfVYY437qkYKHBm98siCVpvFDUO+1kteWHSRtnqLwG4svyqBnkCUP
qnIcp3p6GytdSmd5jOJZmaiP21ACNp4Nfz2S7VrQoZs+SAcY3+Nvgh9KztiGOpgjwQP4dH3F1968
4KkIKjjoaFVdPkBlS0CQ2+BhCIm6cR96ZfHY9lVzo5LNfAPahkZclbWDiyyW+QiVbpShxTZ2GwHU
fHAvA2aLJxzPHu5hngbnOxXFgkjMBL6iiUQ7HztH7V8VczfWG/Hg2j1/amfh30ygMg4p2Rez8nfG
tM+tGBoit+xfO4QJr0/t1pgWR0MGyrBrYuIXMUVGEfKiAKxzuivrjerRqh2J9gEIunkILtk4W99q
FLlmTAqMv0i1VtpDoaLdKR2vj2ftND31lMUaob2uFb3GGhF/3Q+x8SnO2sN1E2v3xNxPQ0ZJkaAt
m4/Bk3ui5xlXq2RgQfhJKGVC+pbT5hJAICUk+d85bTxeZN4U+lb5ds0t4CMhU4br0bs4//zErmUh
i6HMU5hJ0N46ueDbMunGKDlSmvsDtzi1tUiZpS0UnkbHNBYGouJtm6R7QRc/N6h6fgKqrvzJzjqJ
1hce76flWCcGyTPN8v6G6txCkh20U5WgqJ0bn66v37or/vc0WLj8iHRaCdHUHNrGburblR7vCvmz
F2xN4vKekqhSompHeoI14z6cP+RkwbQiGZUyRBU8Lf8OLXS1zJ9lSPm0fIyiG0PeKFQu3ePDGhhe
ES5SyJM+ztATawgKKAhmN9TmzOmoKN4Lwq221HYPMFbYyrRFGrGcxdkcOSACJi58BCMWswjBQ9VI
tQVHQS3ZQbsjMNobFEi9zLm+XMuoQjKpc4C0FKGXnJW0Fm5PMc4jAEMzVO2+h7n4EgfGXlDyz9et
XM4eVuCy4llApzN4u/O1iiksh0MY+E5RSz+aIoMoYvw8CIZld1WfkTk2D9cNrg0LNkcDfRGI9aHE
ODc4taQEBSn2HSP/nBXNYxDCw6NvTd5FAXnWwzOg3Zjpf4A4L8thiTxUaS4kgXP3Tg8NLeMoZPz4
6uycl40D/qI2jyVKMlCVQKsFyOSCa5RqnIf4akCfVOWi1XE43NduYiOjcX3iPmbm9BpeGlp4Xq/I
QzyGXuDEdvohdFghdhg5+k7hTwqDnP9L+efu/d19sHYPT3v7ZpgHfnj+odr3ql262q7Yabsf9rNq
oy9kJ/bXw+7VOb78/Hm3pVVzuVHO52VxXchmEPuVz7wIRhc5YZuFh0wq8p3sx58MrZc2noWXjjyb
ozqGwgfaMsri5EYcXZZ69JGdqB1u0Yvfi6VxSxfwwzA0e/iRN5b90o0BSYKjnB/U5LblhbmilbMs
RA4e3Hl7W5diZsdjf1fIwkZMtLx0/9+i/zesxSmQeILRmCXDCoguFe+9ndJdTNpxaoejglQYnLqS
rQeae93ZLoZHm8csrMWzkKOcl+Fil/pqrZhDGTt+Pjk6xCQaMDdz6/pbs2KxbDphPBqoS7SP7AUW
ij5oHvf1vVYVtjzFjhBu7Jt5W5xtG9pJAPR+0KwiCrzMF5RxWYgK1FeO0bZHTRDmTPPxt2eLIUBO
OJ/WOgHS+Wy1k98qScU4Jq97CwJxX+vSo5gYv+9zXG9QsFmaQby/fA2onlaX0kzTHJmxrSmV24r3
cfJ+fSyz455N16xyd2JkEUimBdLLCQz4zhAyZ5Jf3LR1QsTP/Q2ffOL9Cobq9brJixoYTk6+lGZf
jlFyVEv4RxcWfTy2Q+hocvgS9PJeNSI6ZcQfkuS/DHHnppn4VZJy1KBKN1S3GP4ujg4LJxdlci6Q
h8+Zn8XytVaSdJQsnF7sKJT2xg8rM7TvpdJKjoQOpJuU2fjl+phXXJ+NBR0jHW9Qiy77BIdebZtI
z0OniuRyp2t5fISyPNz5PZv6uqkLJBe0j3MYhjVo35DAm7/lJEIKIroIu1oKndHfTxIheybusunN
S7pjHb+1yeBG/n1nCHdBMk+1kyafx+Ggp9G+iMUboX2svH8M40brbzY+bGVrkudSaf/URY2PXOyb
qRr7uFT10Jkyeg8REYqIouCLUtDbkvT0gepQqDu6XsXkSQW9bY55LkNFnAABEMOq9Y5paPrBbcXN
MNrEfoqrxaX80vvD0LlVNxbiXhIG4c4Uw0yFnTppBCfv+4H8RVoq760RWv4eAVCw1NeHdunSHKCz
ZMlHS9S8oc7nvNI8MR6zOHai6kgu1JUCsnlUVJxu2hty5pZtYVswPmcbhlf8CrsqZKLwbZHAXIZX
ZZB5Ah10js8WUmLNzWvB9Q1pd318F0U0fGq+G2hdIBYmKbDwKb0eLC2tMqjjQe76BUQs4YtlflGr
XTztKqAhTbgrvVvFP3T5G2yPg/laiU7QfS+KOzXfmepuaJ9Qjbj+WSsORVyO+PC8qcBCLWZdj7tS
C/sihnvw4PGakji2rlu4SMl8DPzExPwJJ5upHahkyzUmih8o/ZEdpTG7ux3f+7+Hb1vqOisHE7l6
kgekcnhQmYuz2JrKoUxybEF2bI8t+bWnBohaXrv1lurfmt9AhEdn+vzmQEr6fFg+Pdp+aHHhT35x
bDz4dGLtxsy36L8ugkJ+PTETDCm4J3fyIq5IPLkbBLECp4sW0j3qJJNb9F5BirkTj1Lo6xs386q9
mYGLlkRNvrj842rqpFovI8cKklu5+Qbvzd4nNlQ3HqEr0wfoDho72F+4SJbxEpQVHZw6NeMay0du
rB+NB4u7YH6+7n1rwyGQIc6Fy4kO/cUqcQ5OAaFz5CTRX5L2s+v2uvKzCDZCgHUrpFsQzqTXb0mQ
F4aiFLShHDm+eNNMP2lVsv3hOex+Xh/M2pxxVM28KbxxCWrOXS5KGoJbzwqdiEj6IADiuE1LNYQN
L4zyDT2NtfPqQ/iWaJ2n+8UdGKH9lxthHDly0ItvJHksyPbo9HoZRjGDnlQoMxnSNFn8u856Y581
Y/slCf3pPu0j0XiuhgQqt27ipXyAjlOEjUysvZ8w+A+fp8BPfhhGDZ+dmdW+M3am8U2Ncun7788X
EkIQ9EEmifreXH4+OXnKlnuqF73QadXR9QLgB1Z+tDzLvW5mbfVPzSxukEz2YpgNMJME0DYPR78R
HS0mE+u9/YEhFaouqj+c10smYEstqZOoxPttSk3CBk2ifpXMuPxE0kb5MekBgcF1iyseRx6WXArn
z0wysNg+hZhKo1mEsEDo8Y1gDa46RXuvCQ/XzVyE0Lw4dK4fTm6Gx4l3vlBKJXtq0wTodaiVYtet
RVwr344Wrdd097lF2bjtFtZq3SZQQt2SeI4u7/3Gq7zRN7BphSgTdrgtZNgvVc6jMX2mOeH6CFcu
Jp1qBKcqJflZout8hOgOanquxIkDl8OdSJCYdoar03vX0PJidPvr1taWjcwK0Tkwjrm35txa6Zl9
Kmtp4viTeQvOwKafcifXG0fEit/P7RVkcGiN5HW1GFOr9bFgCRnE1Ll+mJMIUVrYfRrUdJtu3BYr
04e/8+xFqIszdukg9AoqHCiAohBS6naZ2AkPHCJ/D1nd2FEsZrsewbCN/MjK8JCQmQGaVCmRNVlM
IsUVoUShNnLSXrmHohmsoWCPZnr0+nQjZ7FlahG2mCBBSR2Q+AUhV4DUrUkk6vl7oG6cVCt+cTak
xT4LRbHRlAw7OW3Ifl3vjCY8ttPv9n4TEs10sWT4yFXMckLn7ieGYqVWkjfPnOm2UvXogTPMwi0k
qMqvOXt4Y8ZCMQueWEiPGdi5GaWr8ihq69jJo689QDtNef3tbTTrqJokDhBTA/h2bqCgsyXQ8zZ2
9KBnp6b7HMRu5P12Pn5++XD2zXUigJ/L3SpqtRkIuk++JcnvUU9DeFK8bbOfyLjSVD7+wZF+umtn
Xzy5FENViIif2bVKZX1OqkJJ7EKboIvWx2pDD2RlgTggOB5mzCxzuJi/sMtDvgRTWincmKPxNErK
xrm6ZWIxmpHqsl94mKiKwfo0+RXdXXTEfbruCCv782wgC08LRt2UJgsrZi/YE2ePSgXjkwLRwnU7
K8ccdmbhd6SCQVEurtu+MsQpG+l2CUuVEi78rZZ3nORgV47xgyKYW3mctTvwxN5SIGQ0lSDxvZw7
sKgRnauC3Mk7mC19ufyG8M0elaNDkP8ukQzHA8EEgEwSz+zg5ZuzT3yt9kOoaKc8uaUuVCT/yBLw
IPU5VSQHsu/rk7r2AD2zN/vQicfLfWbUQok9Hz7SsUKMpdZgDBAdf3ztaYchT6zBAhTtNuzOp/bi
fDqzu3B/VSp8UUS2jVLXdFCCvVq+jMrnXj00jBad0LwenSnM9m19o2+lG1Y96WSOF/tC94QULRZs
U1XCc3TNFgfheUz8B0nr7UlLN+qy81iujXWxQ9TB4uLP57HK9zQe2GUd7PU+2tjtq/vwZFSzP5+s
5FREflvNnjNa1m7Qmr96tCnw2AhB8i2M0mVBbHZTMqzgOEiRQJZzbixpwNjUKqncRhMKCpeVXZTG
j2zO9YXe5+iYt7Y63mf0+yjijagdgui7p+tO5793+cb5c8E+C28Zr2UqDCRbDWoMi4NBhAM8Sjz6
iHqA8p+ySRLn6omGBAZYrcKyYN/Lp8SJPZlbJEuDXdt67cy+3O9qJTT/ZLFpwJhr1TSxLO/FTka/
uC0aclRh/U9qhrfcwr6dmP5G1Le63Cd2Fk6smCUVCIsVEGTJ7ScopxqZCPCv8I9KHuwEkhHkWJBP
XwRGfkmkVwwt20UYLVvJrRJqqXzjdF/bI3M2Bzlrug0vkvZkeYZUDHqYNQZqKhDCaYl33zbm2/Vz
Z23WeNKg0QACmBTYYixG0QkB1Xy8IdKzzzpMATeV57f3AfQtb9CCfb1ubi1xq1sk2yRcAWj60jeD
LqQEEo4wiwv0TjQ3pEHy7hv8hN5426J7VRoPSe/W3v663dnllycOeZD5VcWayUvyn7zP9K71Re5K
Ibw3G9rc4nqkzyLX6mezuQ2St6HNK9vYVHu+PFqhpwegBMcfMExxiY4vrWlEDq4FildbpKSRq7gX
guFdqBV5F5Npt2Fh+ypE3fS16QvwvNGoOnUcfvIV5a9e8t8Us4ofBX2cDnEnRrbvU0e4PjWXQRHf
x8wgOsvtjjrZ4uQSxFqgSY7ytfK5Kb722fv1338ZNpz//sUxnKV1oKaBRF5VOsTCmyED8HtJUkC+
buFvqeNc7ppzY4ujT40ydSpIh9le4oo+cjGKv1d1eaO5a+2ERTeJf3mhk5JcgkfkuukoeJErpufa
Vo03Lf5LUb4I2WCX2n0sfyn7u7rbi96DHG9CL1bWa87xAlzmrTmnQ8/XC4rTPCmVRrNl6ZsEAtVj
03Q7Q/1laLRg7Kq6dzSt31n9Fy+u9571sFlXVi9307yPgJlQnae4tnQZQc91c+hwamMsgIO6sUdD
UXjbqLsABFkhPLUBzasR2xh6iVJysnw/yLup3QmT26vPcuHUwbEkAh89hA7ADEeHzvicDa995Soi
xBRC7JRasO9NFWFHDyGXV7U6jlkINRq87fV3NfPdWHhoir9S9Z+6erXMJ9U6RKN48EG+kGBM0tfW
uM2yrUfeSnh4PvSFN4eh4U2om2jUSmMXXlV74Anm0/qtPg2tq7SFO0aftHYLFrWyic5mfLHo0TAI
AkIymt2N+7aneMs8vpKDw9n8e1JsG6HTxgIv6UKnvo/N2sccLYZ2M8IwmNzGw2A3nSNLga2PP0Wz
cK+fEytb93SIy/J7WDSdLmSdZmuD7vjFZMtojIfTVjP9Re/1R3SE76qE29C8LkvD3jh6etxiZ5wG
J7FSIN6vWfKPpd1K7YthwM4Myjx2i/FrX8WuLu1l5SdpC7vXdFtOe1ug8FUoD/1wqGlbEIQtLt2P
K/f8rvq4pf79wMULBJ4bNPEkJl8DhtmYt9GEz6sp5tjzBtCUf5IRdpBE3hn+8xT+lRdo3ad2A31w
NljOGGa2aL20Cm1m9HB3IBGNR7nWN9LllzLliyhzcW+QhxTHsWYe/Ul2BQNygi9hcFMC1AKPFFnw
lxqfTEqwZNKt8iv12Hb4qebm7g+85iTWXexH4PeDEaOBCqe0QTP5zxLYYIYuwXUrK+E9a4JGF21u
M+BtCZLtRGsqMmnQ7KR8SeU9SsGKSq9imNqG5bbWu5F/E5lwXsb8910b8p1ofesr8COfr3/Jx9l6
4R0nX7IYcE5iWFEQErLrboKy49gCx8zi8s6Uby2PoLdyJWWOgZ/E+pMo7v3pcRi/qILn+tGxpQAZ
wfWBMk9F/bo2dymq0lGo2AMNUmnybsCSOuabbHxz8vPym2mlJZKl2fvjOj15iQlxAileP2qAOt89
GWmZbwK61lWtHgZwA143OQ14AsNupS2Gg9VDhSUzRJDVYNQWTuqbnZ534aTZbYLIU9sg/ZEK3U+1
oWZ+fWEuA+nZQ/6ztFgX3/Q8VamwRMWPhwHyAQGs48ON3uobh/OWpcVdIKcsmgdpNA3foutxVU4Z
ZYjkWW03guYPlN3luv07puU1oGalaYwBx05Yeq6p2pPM/ya3RTu5afjSCtFO5mzygasLj5J4kJVb
P7xTLcKQt8R6V4o3w5z4w1/9+EDa3a7ap1njICppRnkj1Bytl+trsH4mzRlEE5QGWr/z1J04mq4k
HpVCPlgXvEfaStB5MV58aVZhGZR9LKv7QZzI5BguXMB/xd6PqhLA5nrhYbI6N2+6jdNp5bmDV5x8
0ML/pkAtByC0mp3pNFyM6CmLjR1Y93UgO/QXkdG5q8XnvtFtI/z9+xQICXzfcxaArs6Fm6RyKvRh
ykGRNQH5KuEBGsxdk2wxi68NETvwN5g86sQLiLNQx7pmGJzAgyZEiGaAd4/GoHDR/gIz69XCnr/r
HTxvrjBVXGlpPFIc7szkTwY8A57IwXBMLytMXqnUVkYl2g6bCCqJfh9O2S5vtkAwl4hkYn6SGf/a
WTyZE8UboyDFTlTV3wdfcXNLelMa3ZUHOFRy7dXz+xsT7kJL7JxUDV70XnoKVXWvdfFGUW198k++
ZRErtLGV0HnIIrdzskM7dNWNqD/kCIhZ/pPSO5WY3hrafZtu7LT59y5OBg2KQSxz5IEFWvh1QqlD
Cme7cXSro3ZlNRvVgPWRnVhYnKcSfcKhiIodqZVH3/g6KDd1eoz7r8rwkua3oNdU+b7PN1xoLbw/
G9di01Cb9wPVZFya8UWavnqCd0jEWyF7rsJfSQOKAmzL75fN8ScoXpAOk1EaXeYmtIZXqz4yUhTE
7MxTj6nQ2HlmbTxa5wm7WLITM4sJrcQqGI3ZDA37TtEfgnjnZTtl+JQrOuinjazCB7jwmrnFTBJl
y41QcEvF+bNEm0/0AGg89P9JAotMwy7NuBlhYvlJV7Wd9ofrF8HKtX8ypfAFnN8DSZQmUpNw7Cpo
ysO6+dQp+UOXmBu7YMvMHPecXDdTEpPjShhjoX2qm6dIf5+2xEZXN9q/q0ZnzLmJPBQDsR1YtXgS
bLEvnU7YSBdvDWJxnMV5Q4eqh4U2CA7KwONy8G+tvN64CucTYekPoNLA2n0IniwFAfxyEFJTZEnq
StmFZWR75oNUNgAb72gB2wjG1qJkYoAZaUCShF6pedAnK+OrZkGHOStTSrfd+EsL5GPWHMt8cHRk
YALrSZxQL0a1qoLxSzAOolEfzOHVao+t9tNSH0XlZ278FBRXlZ+tJnPrPHfV/k4wvps6XEKNvBHT
rR13Zx+8iFzyiMpnMbtSFMv1E6zLZEDy5odiFa3ND2LA2Wn45vtRdheMUwj5m/hkBm2y9R3zai+W
iTOIuGF+HYNBXRzsRptLnhpImt0MRboLTKt0ZaUS7yUvhxBKQ2A2yfreUa3oNUgQSdF7+CjiUJO5
6gGySdtqu/NevfgiUBw8vWZwysfMnSylwKJVRqNo9pR8sxJ4QLN3P05so/yimzclbHGG8Sqowu+7
69l6LOaBFBvv25z1CEpSILLeiDy22u4mTikaAykpaCWM6o3rZz4TL4Z64rWLI9pPZTNsBIym0y4j
hdZnqCyE2Q58mNNGqi0qX0xjS0B43fWIlT+yeTJkVed7Rc0HJdMHdqbW0xx5C8sIhwyITtd8TKCl
G6tfqp5+qvQtHoa1LCq+9q9hc3FK+52SJMzy/Kj+3PbfJPmXb4luYX7Oq5smoldleimMu7Id7Fbb
uAxXDr0zN1/MdCC3NQlMTOta6qTdt57WmC7bOFlXUJHmmZXlzOp62XkjViKu2C6uD+H4lo8Tt62r
mN8r05aCzCZHauQNPuWgg+pOs+IFWiIRfOsQODXvskWmNLGn6f36Ffn/Wfa5oI+uB9jkxeVVZ1mR
FiM7PW+/DONdotwoyb6j7WWYjv4I9vIuVZ04u7ludi39xpz8Z1Y+97Z4os/FynhI9hbJxHgXc66E
6FA3tA5VtQsRhJN737voIEHqnCdUgwzETjN79A+J8CmVXdlwPBg+SUM25l299X3zwl9sQVrOCMUg
swZxfP55eaQYZSAwK7rau9EIPWPzf6RdaXPbOrL9RaziBi5fwUWSLXmJHS/5woodm/u+89e/A8/c
RII4Qt28JJObmlSlCaDRaKBPnzNQu78LzF2bvs4iWdIzgQi8KKGF9o89zhEl6CiXcYvpSOJpizcc
JR5ppPgVyPCkq7j6PlgPhBy6cRtNkEzTD7MJcp7wI5ncWLk3qloU/9n0Xxo/57LGYuTKkLDlIS9F
v+yaDJLaCHl9/F2VnLR/mnUVjymP9YwvEsTctez7eDJ4hAnU6MmE1niCV9UOOdU+CyrfCA4BCl85
rk/VLzt6T0zBKwcfCpiENAB7WAPoZQIoy/7+6HwpVcsaIi1qnbphm7F2iPbcpaLGEd6veCvc+Z41
hS6nE6zIyXureG3v1tE7Sb05rWmSCM6Rs73NW+O8mEhozzVTNIVLA5Q/merFnWy68dC7fetC+aIn
lW92T3EoerwWTSbnzmpfyxIBqNPp+o2aXE/ZxxSJUFyiqeRctNPmUslr2LBVOi4vY77Ll42Fu0xj
qv5iCICd7F873hDcVH51fx25B5mbuB/YwuWWJ/Ve3EMC55cUJLtFHYAsuZ6kjSBCssB7ySIXmCur
kuK4weJlu2Ci6lUOzN2+u7a9jMaH1k9oqznfZv97thmuRooinMB7+CsHP2IuQhN7CSJgGeE8aeeF
0EzpCsGWY+53PkKoAqKpGxRdfEPn0EsAPahJC3rApz7amfZ1Vz9FmWdqgqGIDLGhHi/ehOwxD2Co
mv06+rXIVwVqPqPbG70gcLL9e2lIXBQxBiCaJh2W5PK9BP+c6SCDBK2gIG9ZXxsI+QFmCsZGHsU6
J2gxyowUMqyoc+SA+Fm64IBe311/LHA7eJYjdbEMxiehJHSOIQsbg3nE1PdDKVGA8VwwWQreer4a
UM8n749NbkeD9Seyaxk2Y8j4papZohZR1CihZPnWbCtdw2sWIOqgZE/n17jXcydt8/raAG/cCFVG
SXtT+6V976dS2jd4vtnL41T90NEj8G2AFsYBVVu8Mlj2EG/zpe3cpIK6VQ0wzWeGjo+nfpbnN3C5
Rk5VT2CAT5GhODN0IGlqhCE6NMzAz4GFLqlV2enBHMLhgJeUcBfLBsiZu+7QduwGNJf65Na2Fr8P
1lztwNxJtovZ6h+RjBYpdUzz2jFAoJRo04NcmfkmrcmDNkn2VkffpddI8V1px6I0e3UPoK8F+4yA
0JRwJ49UqGaDdvrWCZVXvUYrTkxNjerpfhLKnvNXta/IcWSKfcrRdjOa0bYkCWqpdqLuDAkXbWtb
2a+SnjiKeZ1GFZV1yPgILvtrERooDNa2DYZ7cHqeWq37MZEKHXsC7EZIITMfjaHgZ+x3DSk2Ecpe
c46Ovk5+vhyn1+YVfD2AezO6DVDrn5otgLjtZysDrX2LzW7eDyRJ4SDtWwLMhayI+B7WTtZjc1wo
CyKTSPIEc6DUGiEb21rfk+7fwgzYAh4b4aKY2Vj2Ug4wEpYfaNuKAdHK7utGgb77tRoYguh8dgH8
MocjAPTFrNWV55yOMxCITaiZOkYKqE7wcwS8FxxvIJ1Ox8ce+w8NGzbuwPbc0UB5u7x+qxMKjntm
HcwCPIovk/QqsUpooZjqL6D6nRgQrFoQ2daCKVhLftvgFq3OQSMAVkgsWqQCy7AZQ9U1mYjeq9r/
0kVkWOsjQvci0IKAg/MXeUtLy5CM2OmFplE5Mj39bSKlIB9aO4FA7fuPEf7Sno66rEtpiXS5bJ+i
gvhFY3t/szJ/THAJkFEtUtFLGEdbxXiCkmg9Q5pJ1B/5P5Lk36cOP5I5WMzGaHHqFKEnVRt9Wmie
gG9ae6llakv7pfxuAuk9iDbZ2jKxA/y/Z7jFDa+YI0XtS6QKRbBQBejOACExNQUJicgKl8VJZlYs
ZYqoWM8eIVBfHfwo+Li8UOtTqGH/AD+IPcJje8Pa1tNihpE+eQiXjTx+X8gmxdU8CDd57EvtWxN9
x432stm1XYUGst9WuRNNl9SyBR0Ii7w/4/opVhJXH66lYaelDynJBdZWJ/LIGneoZWYMTIMGa5L0
GmvvOggkFuHJuZrzHxnhzrB5KpMwsGEkqe6D/la1byYZeIXyagYlaYjXoRIUpW5aSYKzc+0QgwzU
7+SADf7oxK4icHMsHU5sswk2yzQ5eRyBAzG8acz5p9nmf5H44ykXLStMOU7jA76tdXYco2zqDMpT
lzqqAeaiJXHxWE/NQVQPXnOTY2Ocm2idtqhlCmP28BAYdwoQayN5s7LSJeYu6v4lzJ2dZZhH9Kkg
FUDM53Z10IMRM1CYvhCYPUOzAQUo8Yr07bLrs2/mM+VjK9yuTuSEALKMQ6u0b4K0wz1jk6p3SSYw
s5ZSHZvhcpt+nJZZX2AmXIpt1kFgcuhpo1lgLMHrD56gi+lWVjpBPrC2046tcqclVLZDewRGxwnV
V7v/VLsr1X78/80f5+8x5INaNCQgYHXg5gdzaUQrS30FDOm6Vb5dtrU6HIh9QtxdRXMj3xJSmBAV
HnToHo3wBHC1XY06eW3QgH/ZzKpL2CDjYEc+Gmu5+FR1ZTIDwQ+tHlzdQARi3/WV/qmF5Safps1l
WyvhAlUCUDHhkIcMNQ+xaJJYr4sUHIfE2t6qTeWMw40Wi4pQKynGiRVu4xazXqICBdrGrNlWS0cb
UVq24t4wgOddUOSZoAni3Hs25nhOA8YLmUI4OzHpouh+2T8uDXCEgfQetTltrUDQoLISj9AIoILV
EMxfaBfiFsoOIkMLG3DH1yayJjmgk6Hfm+B2SYp9t69Icn95sVYc48Qef6aERLECCfakwdd6mrTl
Nst3i5Db5AwQg9B3Yoi7vheRYWQtRJUdpd5V4LJWnc5Af4WX2k9A4ah4vM/S7ZRsyNLTrrdwCVwE
e2Blqx1/Af9wjIsRGSsVXzDPhwxwZdXapsX28nSevU5zw+Q5APKwx+2IrV8qzV4w5Y6e2Ey+c98C
1JaaidcjmkTK+FDiyiMY4P8wblsKSFZUcPBwewIM2Ms8qtCx0ZA0gs4KdJx+Fj8X+kMrlRTVCdTC
aSIJzK5uFGjO/2OVc1kwHamjbIJG3+x9JXQLFXxErS+De6WkVZ76IPy4PMnrC/nHIOezY6AVubRg
mE17qK1be0KRXnCBWZ1K8BAojLYSneA8lnfWzaAKK0jzKCDsvpnsaHLleg68QNFyd4JwD9UMtYcA
kppQoi+o3Onlv1dwBkMBdg3rzmPdrdw5lBvdLEE9qoGW24xkGUzcy00kaj5ai9bHRjifkTJ0Ji0D
U2KpQwf8+pm6kaHraTqjUNVeZIpzlE62myZgnPrG5IVo+qjuY/IcVQ9Tt7EnFLIrL0sPUfamyZul
36KrbdHQrY5a3utl/1mLecdD5vyni9GNlTX4Dgk6DJX2VMizi9waehaTYGuseSpagHDVJuCLQTfc
aeacomxEolrFiDXizKByQXmsEmnQKqvjObLCpUSRXUWZnsFKQnJXad1pfrPkq0G+jupNQK6hh+IH
6j5OD4rpTP0rST+D5Q3dtJdnlc0al3WydqffY+W8FTxv8tiBmsHRYs+csZyl09eAiEQmNRq8W4rk
oFbnFsAAEEvqoFvhtX7RaBtkkgl7y2JXbtYS1HdM9SfpiOiWrK3lGoBtg7IIZjSs4+kyZkkdpVWE
CQa+BJKkkwuAEoUYKk1vUGjdLbT2Ri++6hOafaIFyY/3yfNH5eW36k3sKhscZs+ZE+3l7b9th2Gn
zdGH8dhrvKUC+DDiw2rrIQ0iUC3vUhFB6NquhSYF6AMAmcVtjFvXRYOGVlZoEEZrnmoZMSLZdvMV
WTxFFRWW1+b52BQXi+LZVqZFw3C61pNRt0hVUVlQZIELQXndZWO6wEKZz7RVapqKqkmrJ8fxILjo
gi6sPNYHmIiTHWmuI90b85+RvE10r5eugnavTIJ6z9pOACs7CtSgLrHwUnrqnn1T5HOiMC/Qfdny
6nhvi0x8VTD53a2ChVZmOlFAGHJeALgXbg6gzHGAMbtq/XZj2277Hm+eZ7f3K5q7gRNQVCJzk7bb
0pME5/FaiDs2z3mGVEL1a2ZDjJkQA+I0MmNTv4qXv7GDXN+SoR4OkQ8uYFvGKCdtjGHO021suHry
ZpS3RH24HCpXF+zIChewZVUaGVMeAjbEHAxpa4RodhQ1ZpyBa1lw0NAZDoAK2KHw51O3GNWsZ22g
eNqw8htJ3jTozbOegvCpX6hGyuvUvsthX7d8O4PkoeDoWzOvopWZ0XHjCqXybx3ZbIQRVIIgZDzd
tsDJTOa9GT2T6V0tHqFhHi1ua1yBg7LXbtVSYHxlm7PnIzSeAjQDsjluR7Qm7p9gjod0qiz9sqoa
zERk+AsbKprKIAqLuy4ubKfT20OhpZttA2+nFYB+ykx8YqaC29nKmQpaZjzVI3VA9YFHfcujYqTN
EHUOiSy6xN6y6LSxPvvYa6eGxiJek5VddmKOC11GNOdyvMCcNIKTTbJA8zHRZkBOT6bt5S3wdTRx
AYVJMYNIETQ+UNTlztTIgoxFYGedM16VFF28TuCWlEQ0dfurcoPuwIWW3pvl1pR8G5yImpC5Dd33
3E33miNT81XE/bQ210cfxJ+lkp3p46LjgwD6VeOP2YxchOyoyegQHqpmFlz01y7EmABdBe8c6B3R
HnHqP0NISt0sYE9RqE0lNIGAfNd5b1+irZ3S1zGnpQlKDkcw7+yfPZ/3P2a52KNCrwdOC7NPuTfJ
NKxpv0FHCg12+l28X7bQdLtGwzK1PfsHnuhz+tPe/Wy3ATSDaOi3bzdMw9afncC7/GFrWSzmw0SH
EK6uGgCup/MRdrGMWiU+LPgu+dU+dLv3vqaWG+xDTwFTCgXM1cl3IgKYtVBxbFY9NRuEmaQsGsyG
LQSVtYFaz5cHdtaqi+U9GRi30Jo8kqE2YWF6H1xtq3vxTXmTvLTfYyd4IHgDpuGD/gLZVAo4gnsV
eSn9/H9+ArfoeZWSMAvzzoGuO+297k3Z6275/S4/vL9WB7IZnwMHKy25FiXufG0JnO4M48pPAZc9
2GoYoraKKZC2h+k2/wR8c0uMrbV7fyk3AO4FBZV+oFf9wd6Y9zP9dXn4XyyW5z7/x7W47GFqgCPS
Ywyf3N5ajrEZ3hR3ouBMvn9XnMrpPM1pJipqblk55SHti0ZWLD9OIz7C2WkVV/mSdk4feG3lg1cd
r+NguDHAB+3I3UEKr1A6lBPH6hz5Rxx5k6gQsHoGM3Yfg/UNgWyCm/e5MivDHDHvS4fLtdbRFKwX
CMqOXm80bVfaTL477IESKm4W66YS3X/XDhTQuOgYPyTTZP6MlCZ1KfUe9kEsZCXoLt4VNqQPh6fL
Cywyw+3hEU0KaitjfQMQtyx1uVcV411qom9KFwhy7bOmkS9XBjIZ/Gwgy9d5obmoiDqFMF+ybwOn
c6NNcG952W56tB6VjbYdrqdv0qH4fCC/kHX4OEr81p3p5LTPol21HjGPPoUbdpO05hhKmN10xrYd
cAfG1TTxcweNMxPoHxyVDhvZX67M3eX5XrvjsJwHDCMKGPvxeHEaNKdZkUHWkmASOhCOmdMG5DBO
12Bpp3xBx/t8iwfWn12ngSJ0FASTtYCNp3EI8mBrgeqNy+0yqdFqkNd1jhoC9PsxiJqp1ratATkR
xncj4zLF/fvyTOwxZAekGkGEFLzqpRn6kxJm6IXPw9q7PJXsX+NCE8DdyO/wNK3gyZebSXCFRYUp
o6abtxntJPuhbiwnhsSxFf8YKhHDOEuqLlnjAmETKA0oxhn2qgidIjvkjRMEplsa39KxpWl70DWB
q6xbxMMLkPKsGM+ND5gdvUhbBDyId3ttg3ui/pxAFKqHhuzYf2ZB6AypqKi2llsxNSXklii2Au/F
HbmJngwd9FtbByLkLQGxBeTK1IKCGV8ed2oGihnIaUgomv8kfUmbdFdrgvx2ZV3VYy/iUukkrNu5
nuBFWdftisbwu1bzZmtAG5RO5+j1shet7gm4LNCeoBUF5PN0P7amEo79WHY4SmJAE6ElLmeCm/Ha
nEJ6HbybQHB8vYyf2giTcpZlreqcspwpiDgpGKIhn2B5aVBeD0VxFYwhmg/irdmABKBF36aS4RFZ
c1QiasxR1wI+sK2QZsXRYp7V5tQhD7WhbzqnkCyvmjq0mqETZc42UzBtlUz1iyLzzfFBKQ1w7Gqb
rJ93harQ2qpoQ5I9ugGdSCp3PWhy+uBHUvxMUawkPThl0+wwxxYYXLoMhXNTELxWIyf6DXHv0QiI
qfl3lFRXIymU8eVK/WKOe8WmavdaWZs+uiMVnYprA73/l51jDUHHiKB+2+R2vRGQRpZb2AwZ/StQ
B4UmOeHo5Zrky+XtZB+ULEP/CtCJfv8Xz8InxjnXjCA3ADlMGO9H6XvXohPcemyVzkuynE6ghNLn
N8Fw17be8XD5rVdYpJ06NlxoVFt444uK1xQP0obuGqFBx9rVmq0MhkdNx7NLRzN5E0uIhh/jfG3a
H4KvYaGGC7kn42cB8gg8g7pYFkI3u3NMdALa0/4LMUxAA+AtQeqZwV1dvMggMSrS5zr7kKwHgf0V
uK1q4vEWnOQ6hNf5Fy2SKk2NTjbMv/rYIMvVoye8vqjqjhjoa/UhQ2gmotr82lX62CZ33dBjRakm
fUDszR6iwQed4ywZ1Nb8YapoGQoi00rwOwn2nLVoHjUptHGoaWb5UrToirI7tRHkfStOdWKEO8f0
eJRCEAQCfT6EuzCMHYPcNyDHRyXJ7/S/AK/BGsp+TJCHuQ/nNEln5tOCU9OOZc9UF+hfPytx/NiV
lj8nSBCUanfZT9j3c256bJFwbZZI25Rk6BliE3jeSs22AVQU0uwvXvhhBvgdHVkP2nS5aCCBin0s
E4B5JVzJaCUtP2T55+WRrDjfiQlu+weqVo0qw57KSbHFwyg1Jp/BDsAGN0ErTpVeLttb9QzQ+EFD
w0ClmH/H0aYYALKyxpAKOkia3wa3TbyxwIZdzO5lU2tnMNj+/9jiXH0oIO3ejrBlLqV8N3fVwY6N
+36xN9UAdLSmSg+qHrdUwYsyndpsvgvw3uOBJu8KMqrJbWfl+XfBN60EuJNv4naGPVTjYMf4piBP
nrSy/ZHL1Q1kr9+D8SlHATANAncERQZJE7ro6FwNwnfVCEUxZyUlgBS9DHg/41oEDfTplqlCDTDx
GtA6MEiO9c++c+30OQf5mmC4bOvxG+XYDv9MRew6kFtoGnUu6KFCL94Gbo9iNtUp2fyUDrPb3i5e
7oYP0t7wLhtf26THtrkL32APyWyWzLaabkiWQMXK3uWgW79sZm0qj72MyxfKkvSJxRD3bXEzMMq7
FlSZ05PZb//GDkTHwCwLSne+w2tpixIlP9iJQ8eSN2aY7kq0sAkBpWvvP18iGf8Y4raNToYp1nq4
6GC9y1G/MeYOr8uB+T2Miq2WvRq2tVWsiWpz5+btc6sOdz2xnys4q1KkN8ksu7GdCyLuapyCcsc/
H8XtmxJYiAlc3ohTjLFvryM1g9BrbgKqjKafaRYs6prvoBzy2xy3qJIk9VKjYrL7GWWEzoU4Wwlo
0t+sKFYTSEa0iPCVyFGeimZKgJysKycyKz8oC0qAY0sVwXG8Pnl/DLG/P8qqysQIhjlp0TNR/NLJ
cmeCaczyIRPYz+9aIBLJW98Qf6xxx3EzRm0M1C42hKbhEYDKdruRIEIBIoLL87cWXEAa/c/88adw
CREeAkm31oni1xYFiEx28y53OvJcR65ppdeTiATnjA0N71nIMpAiWrgw65ABOp3JNAAI9KuPYsmn
7VRPVAEypIgrmunlTapNjmRUvkV+QS2HFB8qOpFx+aJyYbtGn28uD3/NR4+/hVvVhag1SCpxdLdj
AtYVQDHcsdYiV4+jdHvZ1NqSHpvilrQiZWYlOkylY7jLBoWGcb9LltxZJlVw5xOMim8OnvsKqu3o
RnCIIh3KGsUTTd0apqBUuJobHI3o6w3+aEvAa7LSDGAmkLJNH+vPUgnwPOk8KdRoBuavVAEocDQ2
k4ny9pB4JgjuW12n8Sji21zbnQg0Kpi/iIFXZ+6MtOSxl2oCN27D0clAmW10ptPaZD92b7ECBt9i
EZ1Za1kY6F8AUrHwKKnx1eYRCV8TWYim2qx9t5s+pm2ZZDBa1G6tqdCmCRXBZj0bpQJsoArtLNAH
AX7B36wGeYS0sWRB20LekWR2RugUkL2mPDXDN2FP7/nyooIAMSsgPKBXiiIZd1wwBa9hkcrIefHf
/N3H3bt38xC6ImrsM6oJVqhA5xbI3plEDbRYT8NBKFVaHy157DwRCiFtSveQrqaOtxVUR+yzDcgq
ImwG8fiJh0+bO5PVQM1KNaxixz1Asfvl8J8fvn/wDxRm8Qs/vP/+D3/Y0B3FL8hp//fvqOdRr6D7
veNu7++3n/db9/r+6f7p15MgVHyRIJ6kfCjOMvF3lAlBgoI8/3ROABoielD20KZ1Wsf3/dj5+rGN
BKfnOciGGQJkHqA2vD3Dr04NyWOZp/mMyXevXdd3fQzao4JotLbC4LiH9AN0mA1cLbmA32h2ntdx
HaPeeH39dO0efvib53edPnuCJT5v/GLDObLENtBRRJKLUAnsCJauDwcsG4TfL8fw1YVhNQgVT4Ea
Yg03lLi00SEXg+jq+uC6Lwf/g27gDs5WsNG/HuF5Bzi2ww1EGfIySkvYOfz48fb4+BjShT5C1R1J
JGAK7OcjTHt7z9k+fFbOw+fDSNnPzxlF64j9RxDsv2qH518ENJ5toZsDlCenUwtwCykiJifssu2y
u91hepncvbPdOo5g+F//2CVjXOo4mgWg8zUz5sL7qf9tg50JS+7WFZgyWHg5M4XSDl5WEeOAvz4d
lzy14dzZLTN1YDvA37FtzwIBhofxuezXZS9an8sjm+qpzdBOp76tO9jMgXHAbyjE4/cnjDZ1Yudj
87y529/t955gEc9TL+wP1EZ/D5bdrI/2R18PaiSnMIwIWFLff9y8OjeioLK634+t6KdWzFBRIabB
hucewPiJ6Hm3gad+F7nJ+TMzNxzOJ404axhYHoZeXH+3oTciCxqbkDPvMHQdXFRQBoH26ulQtKQs
pBRSGWylrk36Mvi95/qbu/fKe/8Klc6W7QHBXWN9+x+Z5bZ/qgU5nsdglvlHSl965+Wp9UYcBzNe
AVpvcF0Tu4LipNRph58Z/vgMEA2QBWASoQZFLxx2pys4mOyzt10240cfxp0XVhFBwkb/z9KyY9Q9
fP2GjcM2DztRcYyyzcp+w+/4scd/vzYTthN+uGwbX95PBtsvF1aJv8RIdVD38slXfX2b7/7n9GZf
wb4Fv3AisB+iLzjHa2NeAMEFGh0inMhjuHkpSxDe6g1UJphhZBRfPxAiv9FnjP7GuWJh0r33RUnN
WU4DflZwTKCdjxXizgRutaaNtMGC3aGfG9ob6DGy0SOSEk/LRAJyX51EJ9PMGeOicpcUUhJZGg6/
kt6GNKTgqHMG+oE/LcBvsf8HmZuH8VIMe7O/c77tvm12nofhf37e/8K07Hy2kZ7ur7f37v3T0/X9
tqefoTvSX6Jns7P0HPkxmxQkBOhLgjrv6c4l6ZgXoMjAhQQ9bQARz3gx9RZFw4N6PQW9uUHrUrwL
myITBNmVJQFtBMEtFyA71Au5oITetnpe9DF1JgXc5ECLgt2qXF7ITJKrtABphcD5ed8Hzga5M/Yk
9L0Unb+ENX1pNsMygScQeKYaiuy2p9pMLNW7bOcc+8EMofIJWnBiohWKG1c4xjKavGBIQTuiYqC6
M4EYJ6ILlD40P5JewuB7W/hT8ayaG2hlzOpDJnmWsRF8Bzs9OC88+Q7eC9PJlvsA32EkAbXUwM9s
38zvgPfVKzRnAdm1NxE4Fa8uAK0DMl0SsFuz4HvpAzjPahf0n80qPkBXIuBPrJASGeoOBJLwhZx6
eRh4DXhzLg97xZ1PRs2dCIFW9SQZYbSbIi+prhqQymSRLw1baXr9C1NAG0EkCP0nKt9+0QZ2r0Lu
PgUTfAni9E2lelmDpqjBDUTYJuYzZ1OJJwQDSuCmgus7/v4oH7HS0tTDBnpvk327dNATfl5EjN3r
JiCQjFssADY8eiqR9aGoVfBoRnMNjL07K59Z+HJ5xs4TEbY3oP38jxEuoYuaKFigPZo6cguFcAh+
yK0naWH/kg9Auht499mG6SI/FBOe0LOqGvddBSZXb+qleJdmMRFdhFY3ydEHcYke6q9LFYPaz4nA
7CI7TYT3dMslwbUJ0oHo3o53te3HPZ7UzENMnEYRfcBZ4vQ1IyZqiUADWrhgnq6s2qX6YqIYworQ
Tqc4ueRp+s6QDwT1EhLTUnJt9G+OEGJ618lOsB5naQpnnVsPadZnMtdw4VLeRN3NYgZUjd+s2R3H
Zxkdqo3fNoIRr/vZnwFzM26PaT0UDQasBT+y9NtcHXL98/KwVmMAuLL+mVMury5reVEqZgLqOnLz
jiJ3bt0OC0SqRErfosGwvz/al3peospcYv60ZL4p+x+SLftq9K/JJ7lV4iK5nYK/pBmYFcD6IqBi
9c1oOSaob83GM21B2GYp2Hms+TN7XNgu7SIlgKUg1ix340h1+8Yw9lOxiSEU1l1BLeTyYp2XgLjR
cRG7hl5p0kuwV4CZ5SX4bKm2Xd6yt3BX7pJvQAVt0kc45BsRZMNra6eh/QWtkXjYB/vH6doZWp01
QWmnToVu1/FnmEBlQ8QLLrDxhTk68o9eTZUcNViQgacBJI5SqqJ7FrIWl6dwLZM6GsnXa8+RFRU6
NaNRw0qeaY/qqHkoscrDmAI0L9i8a0c68ndIxgHdBWV7bvNCUUtv7AiaNRCtChs/hzDG/NLHPe3J
9RhsLg9rdfKOjHHbWMmIMQ0KjI3B6BnhfaJDuHp4u2xkde6OjLCPOJq7ABEQWSGMmDj21OGQG36G
l3c5EIXa1dFAPIl14aJpnb/5WF0RLnOLI7wCvKd8n4aRziR3ieI1tepZ0UMGOSClxBWhcPrGnbXb
aPrZ9ILPWB3un6/4euc8Gi7gBkMsVfiKItnn48+JXGnZQyAJttaaFdaeDzlKA9y8X68FR1ZsG2e4
kUJqultu9NS1rRtpci2RSsDajCK9ZjTP0KUCIud06YxqiNoR4FzUMiY62K8t9EfHRMALdP7EhvBk
oZYAlRuQ3J3dHOdRgYQ6s6LI0MfpszrTodZUgqFCraFJhfgPHh/o8TZemFr9wbKWCp0D41weJsNs
0XNtZVb9MUp4K4WmYhnaqrMkUe9aYaZ+yG1GEijYhdBXLEkh1347Q8DL06286/bDoE3yJsvJhMyk
0Svd1bUiFFU21xYLDdSA4mp42jvDOWdAX0p9DIHfWlHdIvByBXJiFu3nfwsGYxNJgFMF1E1Bps+d
K1WlaLVkYiLrJkRjamJ+ZhUREW2wmMAfXhZIAiA0wCSEeMhP0OuRBKFcXHrK9jqGgmhYRIIYuDpf
NlS1mBws00Pj3G6I+npZYmjRAuvhTtOPBj1QxkTAVFCLYEVrw0G9Hr2aDB+ARo1TWwHqDvUMqgn0
EeTUKu+H7O5y+Fs1gBc7BegoFegvbjDgVCVSlmEwaM7H4bRLuve/MQCtIbBrIRbwrCt2mEyhrUdg
jBjNX3YmOxZ0bARX+68Djl91dAWjwxprTyC3fDpNZaPmdZOgqDi1wUaJPVvFjTZ3JcPVyFOYjG4t
7QuLsQIKLK9P3x/D7O+PAt1QheDnyNLMMeviJxhFHT1UBdtmzd2Ox8YdUEqbWRCSxtjAqoXOZFeb
PMki/kwEpy2LlmdzyFAGumEquGhynoA2ctNClT1zGlMJnKh+n1jTyPjcDMmdPYEURC+yvZyKsrDV
4UHsDZ2mOnyEr2rmKD92wQCz82BEgF5rbpqYb1kJ7g/p12VXXHcTnBOMLB51PL4oJeOxuDCYbv1Q
aY4R7M3ydjZuoninah9lvSXkXlIfzWF72Szbo2cTa+DgQDla1nF/P/URPS5nJAUYodFEdyoaOotf
NcRHrXSjj/5lU6snIthtvtgAdFAGnZqqI11FWzdCuVTbN2OsOsqo7bsw9S6bWVszPPT/NsNl7Fmr
92WHTlWI+2oD1UbQDoLzOYZkWdJngtkT2eIOeT0FjzZY8LFmxauVXRfpIatuepHI9Tn4nx1OqLoC
oQgR9TMRlTCP51bDaezgMvLRt4lTyz01swhPxTrNo+YuLTK3rN/iRiQIvRpCjC/xArxKQo3tdM1K
fYjMWoV71B2ud63SoKFXCPsWGeHu+YlsFvAMGInH9GkM5EcTrPSXnWLVzXFWoaWS5Zd8k7A0m/a0
SDhJZqn/qMN4V40zsMT21hp/1M0g8PS1iwjAUb+tcQPSZFzyAVfOnF5ZkEjLvYcnVxqOP61Ieg4G
+0Yhz5fHdw7zgIugzx/Kw+j7h0w5t7mIqUl5LMFkGVX3I/BIShV/N0GBD5IiOkKwnBSK2xVVRQPt
RbNnV+11t7cqz2xEJArrc/3nU7gNGABsmmU1jh2bjE4tYevddLXXA1GUifpEVybahCokHs1xMuCm
zLln26hLnX9pP04QfG83ielGBBgpwGitH5Kog1BkjVvWuLe6YckLbEPcl43lex2+TKGKOg2uTPaV
IeKEWwkuoEwB1AIQEuD3DC64tFVDFnXscXwTc4N3v176Rbpv1lK7l31n5Ww1kcXhAsGQl2dNUfoE
bvgmHzInhSpL82iMWyJdFTr6oVragKusrwSF0bV5BDuZCrZCjAzn6mlQsfIeiscBTrpsuZtqJyqm
a9Xb9Yk3dK2ALWHFF9EugBdwdH3ZKoZ4akqWjCaUK5w5bW9dT8gr6NRDWp0Aihik5p2h/1u9RQC6
YBDNbpqGJkKgh08NLmE5BamEUJ2M6qaXLNqhpDFin11eszXfODLzVeE9Su2aVq1Ix8wEuBYl7QH4
3KBS/UkVRLK1rAS0/oCQQbUNnUBff39kqLZJ31UL41SrGqjKom04pV2h1tdzpt9LUxvfW/GsvQe1
AXxiUaZ+lBh9hG4ho6idy2NeOwZRlrVRDsRaMlzV6dxKkaXmnYXuwCXZV2hAJyMa1AOWu1NN8yUZ
AQ31FLv+ednuqrsemWXH19EUQAcvn4ZIRf4+Sfd1iY0YGU9lZG0ke7mrzQRKakKpUDYULi07GSqX
V5NgCrS20DKnUj+mypuGjarvQntv2jtTv7W7733u1+j2JcluDARXyLV4cDzNXFBFU5ligg4Sx/H0
I5Z/jKqfLUxf+YrITmi3NBY9soommIurSxvUcWnAYDlLkH96rpfvOXhD1DJxxvyHEm0vr+dqTLAM
A4BFDTLzPBqkH7ulDFmTaSej8bTddiYazCxHHkI6toLn6nMmBRYP8KaAhnC0a6OV8tR50nAKBinG
2DSjkvE2HgMAMs5QJMt1NDMrwbseJpWXRqN6BSbABwk8ke5odoaDB2Abh3gkah9YGz1ABlDGQVEb
V2suQNljVSek0OFZgeWZpLrWk03yf6R913LjOrDtF6GKObySFCXZcpTtsf3CmkgwgwFg+Pqz6Dp3
bwniFWv2qbJf1Wyg0Wh0WKsNHZJta1AdXV9qbd462Y5PpMkZPTCexR3DWDrGqB64CrSOugFwTPcE
5+XTygj6Ig3KRruracjUQPPtvZW8sPQAJ02KZwWoo49DQAI1XfmwhZDTxs6gDo702cyQe74tRG8J
UmpYhQF10axmD7ga9td1X3LRQEXC1BXyCw4mKc9FAHCaArxw9lZZYmfBiEGrBnRZmCNvpjoJk8Ht
jn8vEc23aGoE2BpSMpKtiRoVM6cEf92UNOkDj1vkyZQpu6uFmgRR3LXedXmzBvLm4jWC1hX0SAC2
WVpEPD5Mgk5mPMpbEkR8P8Fi6e/rMhYvoFMhkvcFcUKr9BRCBHFdb2CpP8Rkk5t60KW9V4lhOyGT
Uqbu02C7CcCufq18wEIVEkhd/+7jvM8n7t/gXaYhnkcw76Z+VX8X/NWaNr2KZolvg3ZXUDwkPq7L
XLROOCZYIA6pIcOvFAqJs7SB6eQ9AJaK9tBHa6Pwi9aJ1lckVpGWQkPvuVZqpGYTGmswad8elPzW
BvqItnX7p+uKLDobTBCjm18F4octnQGn0pvaqmZnE5ePmU5ualofRyfZxJzf07gJrotbXDcbUSVA
6zALI/e6K13cdwVIk/15aOu2tSr3YE3O23UhS1YPc/hHiGQP4HUBmZOAENMcMCtYeyTNglr7fl3K
YrDzheyOfgdbuwBnzBHMlmlmwe6N4qnpVT912T7p6Y5EDC7F2HHm3vbmb9v9T3EW0q02PCSMT3ek
cw0ADOpGiYuHB8cpSz5UDGHTRgsFjYADW2wL87Ovhi26tFe88mXPKQDNvmTO82aIO+ezeHLW1IED
XdGc5tDD3VUlwAUGO4iTN33UdoRYNy17aWJ6i9JK4BpAjtQMcGlhyjBFgNLZr0ZKdwY30NLz8/pu
6BchyteHIdWtzjlcVAjOP6yJU1GhnTkHqRxpA8Lj7IaalaL5uZukb1qkTB+Om7t7jAv2QOwcs6Dh
HerTwA3P/LibIq8GAeu3smHKYxlpaRQA9Nacp6UzbnhVP3Qgj8NIMOhZLT2wNcp+8VTEfaCRYviV
lyl4vqImCVtjALZMn1jaDyAEmPuyH7PbMXb44EdxMz1zt1FfWKdkH1Fbz41xtA3B7dwWB7DeuHeZ
IqqVHP3SyqjIHtp4HSw1lKFlUxQt7NQG+deWWJO2QbV3z1jT7HW9KoLRcaKZvUysvCIvDvsMbz2D
VBk2Jk/Q0Ha+JYND7XSaQDffsZeoRJpBX2s+vDjpkgTpPu0BuzOmBS2QsGSIeg8Wv4nW+HouPOQs
w0C9Gkk2DLHLODfFiH52t0+hhXpQhoCLD2GHerYf+xW39WWiZ7f1lyQU0YAvowBYS/L4XE/teIwQ
HXAAynXB3Kpuh3BfnnZM9pPPnoA1tfKSuMxKSTJn4zk5z06pdcLCm9EfQuNPdttvnGDaVof8vt4D
ZiM092tbdvF2kQRK0W1udo1lCwhUtvFz8Zocsv2wYb7yfN0fLBg9du2ftZTDWpMl1OqbOSgJ7RDw
zW1oQh2xEgasSZHsLy0pcvNzfDX8nIL4KToA75QEf420dL5kXyH86R7FWgRwY0hJDxEQHem3NhCb
JLRXKkWXF5okR7pVuGp0KLdBjvGkhmLX3TYb+IX3fLsWdCwe25PNmR3HiUKTZheIDyDIUnZTFMTN
PtJer+//ZVSKgBdVQxVPSHg9HOFzGagwCKWbEqRZ8w8GdGaEMpXYjNZzZIeOC9qcP7YSVvZKNusi
aPuSOj8m5/PrytM7JuWRBVrzwo9meuuk85JoV+MSqNbO7WxZkq+AeoDfnbH/kMeSLE/Ned5qmCnz
W4tvKr1G2+G3SnnHre+Bh2jjCGCGt4Rv0eEQxNMq/ODCDiLocQD1AQIV4ORK4pkRpa5RIcQCY1q/
YWG5qw566rPbaDfnW7dAPCq36jH+dn1XF5b3TKyUh8jTTjUomx+r7c0kfKL/Qp8EaKJXnk2XPWUI
JjBhgEGDWTngmZwbD5K+okM1DAly0YCZnVIq7hAe9H8SjnSEYnA0I1sZG344pcHvy6FnYNwTGdIE
4CW76e2hec4xtxoD920qXpvEyB7rnPAfzCXTyu1+mb/AtyKPqeJBCSS2i8JJUjBz7j7Jfe2Jv7le
sdE1jwbKfrqpwkp4yku7u74JC9f6mUBpE8BANaeNIdBtn3QAEtprYBhLu3yqkeSHOiPuHIJgzVf1
DWCsK4KSSKL4qRFcV2TJiJEERleJjbzzxTAJqUXNExXxiWOh+sGz+1JHLl00Ky1AC+uF5zHC9BkF
ELCK0rVeFqJOe4xJ+Nzpg4Qg8Bz864oshSiY7AXOhj7PfsqPuB6Ijb1ooIg2osV4o5UbwTWvRV9+
o65RlyxsDnIlc9eUimoW8vbnR0MoBssFBtGRHPJE+dkMD121SbM1q15U6USMdEWIvq8BLoZYaNy6
R0DKaH71bN/mD9Fj4nd/ytjLEk8DGTYJ6hXXepkRwzXogAwerTl42wMS71xDQ8+6KMugoXo0j8aN
sSGb9Ifx9MO8R/4RMH97p/Q4WGU9P9nr/rhLweu54oAWTObsE6QjlpluojnjvMjlh+XcpWuESUu3
45kAaRdTJRFm4kKA+VNPvC7yEk94RpBoIA7d8B/WWpJ1KVA6XVNpO2mSU5FSWCjd87sKY3MAf562
Bvemm9JTn8h2/AaKKv9Nf+lWQrTFCPdU9OwFToINQnI9NzSo2rwDpHafOIH4Znh15amzIfndcxb+
vYM8W9z5CJ1IpOgIFXky+5Wh9BSyiYe/LvpLJiq5FPAAWl0x61Rq2d4S6a5iKzosH/N/D8G8oSc6
1CCeqacROtRlHLo64PSGbxYmINXwuutalAMA/Hmib2a2kgzRFEigA3YEE27q02SiBO987/R7N6Ur
LnLB14M04F85kgFaINcEBwleijF5HMVd238jfM3SZscgxWRnMiRLy6xIa1GHAtJI/JxGqMIVmxLF
p7jfddOd1jwl5V5xv4//4bo8EyuZG9LnLkmc2VkYPsfYB68VUBHd6mtbtbaEstHRCgPcHOpFztFk
Dw26ZvUsuG4OazIksxurKSq0DjKa+HlydhVAPI3VuelF74phTgA+4Ol+kYTkmOOMDXT7+jUgq7kZ
uED6AgR9Xvq28gr6OCN5a/JjC+jySAULa/5C1iKPxacWpgbQLwT4CeB3S2ZftXXRigpmz+tQB3l4
EZYqsIhrQK25ACHqPWU45Kt0Ukuri0Ixuu9xEubnw/mh7kxqNeOcNmyCIYj27MeEkfjaczHJHD+Y
PrtTnsFHvEZltBShzvXpf8RKm5oSPcUqADfP2tp4Vw5h7HnN7eDz9/pY3649Y5c8yqk06eFnW9k0
NqqNDGWxY8YdZlKdFn3/m+uGOn+zfNZPpMigdI1bOIALhxSzeS9ZYEx3DrhCgPbcDmFUvF8XthiS
nEqTQhKV1MNUa5AGTPftEMTYsvTBvkcIlHrFFu8f7T1Gvog+H/Ub8GamAejtxBqfwlLu93Qfv8bD
T+6EauCsi0AZ7E8Pn4mX3U07wFkd3c1vbd+GEQZtGCqHt7drc5LLVou+KQtN08AFl6x2YmpWOQpC
wbwJmqZBGtm3yfP1Ff7/2Oi/QiQb7Sc0fTcjdOtCEZg7fo+c4vfi0AcRkNb7HV+L8BYjMPigf7SS
zJQD6ENrVQjUtmoeRtvhJX6q3ofJVy1P8daSmItriB59FaE7gGHkdAHGCQy3nuO9pETwfOjSXb/2
zFkW8U+2V6afr/om7ZMBLs0oUg8N20MWe61YucYXXPdZ2kMKjEWWKcRJkPaoksErnXt1Lfpf8B5I
v87Fdw2tw6ACOHeRuQ3un95BAqeFE87InwFlN3pH1y6AhcU6EyPp0VG9SxoXYvT4EKcHQXdmFF43
6cWlOtFEumImjTh1nBWFD6qGoG8Vj8Uv1yWsKTF/wYk/IE3cIB8BJVB3QX/dHyo6z2Sf14UsnUxr
xjlW8UZ3ZsqncykTOp0xcQQpaWx4IN7wIpoD59ory3ukZiBvMIOp3bDqdeCv0dqE5nwMJT9/Jl0K
rjKiixTDhYhPRbptXfuoCHRWgQI71q0NgNmCFA1NpdNur2s9+7RrYiWfl+RpjNc3lJ705zY65Obd
oH7ozac+rRyoyz1E4sAG8BggpFHDlFsYC2DOWq1ig4i9UkDRxOv7wiIAzqYridHLdUQfB3rCDBB2
IGlwEed3vO7K0cKMYYm5bX7HgBVXA1lN3ysdBmsfy36l+LSkGCbe56EAA6dAbvMbWGFhANzO/Bzt
7OprRp9J+3F9k1ZEyC1+JrdKN6oggpl82xjvOreCdm2EZ+H96ljAvwMUFBgq0ecg2X+kuh2eSBhJ
mkDm8sdhfvHH9dgtOI26xrM/yZ11zIJqd121S+dxLlQy+5Ewu+8HCK1tzE4C37xf8+QLMQ1EAKIS
JoEmJ6TLz8913XUxTeoIIjbliwhzvwjTbbl3D/m+RbuuD/zW8s3eMv+p99xDunUPa+Prl77+/Ask
J1wYxCqVBF9gCwBW701tI3SBO+vt+louiAFSzZxgBIHD7EzOFcXxAjoBT6AgfzXdW30IbeWFr7Xo
fbWFnbsMQKXBQlwQ0mI+9Ct6O/HGSqu5dZEXiEi94jl7U4UXb1LVR1rHS26SbRTknh776Z3YxGFx
dFejw4XTcCZfCmjqfNJaMEGhenkzhWqQh8aHej+Gmpe/One/7O33X9eXdeFiOFNYLvGhcaopUgcC
o09T9XrFz97ELRjXNuYdH0L1D9o+vRWRl24ZBQ8XDWNoaZ9zn9KdmiojaUy0D+MBRY7pY30vjmho
tw4WQ/ps2rqfqo9Ok8gHJ/BaQXPJipwZ4gGl/DnTK7kBk4yWmoHTDEPaUe5NdfScK/y+n0i7V0Fa
v3L+lxQ9lTZ/zYkxZbaZTkTH4GCZ1JlnsO9Dmb9o8Yczabux+3N9WRcsB4wumMXABWFiIlJe1ZTR
qK6xkW4FElrl+zByz2LH60IWPJozH0EVAIzgrJJz5IM6dJXtcsSlczeUh+Kg/YQQ0FmxyiUxlo5o
BYhE6C+/2KbEKVKb9HhiI9EPQhjm/H0o7yBxARhmgCNiVFHuEkjchBRahkaXqWwDzX7DcLFH18bq
lrYEEKHoQp1lYRTsfP8NO09Y76DQRpwn0YY5D9DOd31DFiICxwAEAFBdMb10UaAdqVuotejQlhKF
2fROm95LMfWDMq0aYnYMxYVi7fh+sQNJPhI3DqokGNaCVnJdj06kcGmM+RAd3emTpxjR6BeREj0O
ug07tykyaVhMZvi2I3jg9rT3atVB7wpSXyDXwMqT1jd6gox/MrX9vu+J8VZELV4jiSLYLmV6NgVC
R0ClgOWdbnmfA+tYILg6tE3PDyg3Nve1Osb8ltmJ8WhNFm6eaZxCrRvpraUVyqc2VhiFSJx2z3EQ
E19VMcHpGZOh1hhsyUjj1bFr/SmUaggnwxl/JGQ0n6o2Ko6UtNk3hkHyWwPgh6EJGU/Mia1bVpYa
DYrBFTdGblnvAn1+Wy0b6Txv0XdjoMakvK8SRwSTkoMhYmwU8R1xNzqPtVgFoY4Fe/OaHhBQfdl0
0y160/ro0SWK/pAOLviPeld3OxDd0Gpvm3R8Y7yhoZ0IN/YqtcMQRJ9ZW5roU4JidcUA3MtHNIhO
4M15yIEe9p7VU/RUdW2CvjHbrAFTRNLAZmPf3AgDeGJIR9PytmRZdYNt1OON7mbjb63WqsKb+qx4
SbjGkD4zFSUs2zb503Y1GIOI3ZRIAtk2z5BuA1iQZvTdRzXFgnqCOukPNW70DYbKDTAHlrl+MGiL
rHpnRWvjvnMSQTY/CFeRecSgHiZIz09VgliVkrrCm7+YfAOMKRrptlMKlpqO+Zhi/Z2StTyDtuSQ
MFyDUh0CfDgMSaYo6prGHfweOSJBVR7eK1BMeMWdAbDTe3ELupOjeZ9t6oA/Fj/oxkEYps2MoNcP
++JXYAgd4LQAOsYA7bnmZhTbRlngsOtZaAG1mg+r8cfCBekAieUfEdKVpffRUDkdRLhRaHJPuxv9
H8gj25726JaB/lTvk0Pjufu1i3lNNSm8Y2VuV10PubGO5p8cs3zl/v+2eFJuqhtVDpSR2VPifLXJ
/aA9XRewFEohpEBcgQbgr8b08+3p8P6oym5E7Fhp5NMWtv1R0hhJxNopUfVxpzYPi8gFHoJRWGLy
OholWoC26+JXE+sp7Ddpb1nSi7XJt6XFPb1OpdAgj6Ohjw1cpz1/JQhpLbpSnF+ymlMB8wecBDpO
02WVBjo3v+61t0wrt7ULOPeR3ZTaf5B0eqVKrw23KOFRUrRhtsNnZlpBylnQlD2aWNagCtcub2nR
lIpXrCe4vNtxpzY3LZ7aa8j3C/EhBiYMxKMYmzAvxu4TMWoC3gzRaFaGhVmFxdY6Al18Y0Tq9rpx
romS1m2olCIbCXLfEUt2gPQvc7QldkGn3NG/njsyEFqdaCUt3KDascgiFCowIhh0Fgj3jCCv3gyl
Dkpi+df1WroMQLgHomjQslpgUT23vDquBG9dLGHP/KRNPEZ93di5je6Zw75P14xiydBPxUmG3qqZ
MZagwvbHAtV+EYzKn0h4In+7rtVCkWCmm0BhC/QAhmXKYwtglWlozwSegRu+sXfu8TdqyD9x5TSo
NSWevlV2/a27Y++9G6z1li4ZPoJ8pG1nZt6Lhh6LD9zMTcimpPPQ2+2gT0Sdqs11FVekyO/OERA6
VjLiRk1p6TkUI6rPFg+vy1jarRNN5ORIMWECKRuhiclMa9sDvw0FQvUOuKoqyspRevy/iZPOWDIa
dd7mEKfrP3P7JzgWMXw2eDT9dl3OV7JWjoBO9ZKMPq0LRyXzKyz57r4oyDV60wFJM1yeB3uDghZw
V+6dMPmxInbuNL8Qi7ADYRC6o4Cren7WGriQJuKYpRG4QQsTc+/PXDuqI9K4SUCrsBvXOxuWzvfc
IGnOmQJMUkuqulSlfTxP1uhVyXw26bcV50feswKk5/cCRWbirnRNLblKcC9YUFFxbbRonauJSLjX
7XkulPQGBzDmo5lxYLcmpbJnTv0OBoS1WvqixLm3H6V0EL/JRE8W74y2znDVVGNuox9ATaZd1ifq
p5ZFhPq1UUf5tsBIykpVYCEuwPwJJiSB/otnhdzdiy0uMwugCX5JzX3F7+yo3l63mYVTDuZeNA+D
5gB1Onl0jqDh2jE4+oeVLCs25qTQwGraAZ2I9u/rki7WEOhJ6KBF/mOGEsDf+a5hQG5Ue5eXvtF1
ngaWU/6rMZ7M5Ke1Bm574VVmSTNjN96/mB6Sd4unvLPVSpS+AIRqqnSBnuwsZMyilUvgwvQlOZJG
aetyZEShkW6DrJVnPx1M1gIILcxy98OMjBuWrTUMromct/MkjrPLHhmrCSLxyAAgWkDpczuCgbgC
ZsJPCk7b63u2vJLoEwQQkHYJ5jFicjPX7L5EUQrVEnHP+tQTyZOZ/XWgNS+lCcuYUz0o+UiJmAlk
WJpSQFCbfzOLO5KHDXILpbup+2RFp8UlPBElXQIlG1x70CFqJABq0jyt4Js8v4mBOZRlB/Ove9gk
zST/qCc6VdxmXkLA1mU0uo37fnd9ly6DEUmGZIgFuN0Sg8+rN36W1vOoAnxl8JzxpktvminMesA4
eTnboR5OzNG3ktfefba6RxSq0D3/svI18wKe3ULS10g2mmq8qhQDX9MIQDTegrzOQ0bSE+gTZ9at
GzWepoQYi6TlZpWs97LfYBaOnCRmHzHljmLq+QEhVp3FTjuW6N7SPjKEEYAfvCcAgnDUbDu6IH0u
0RXUfJZujlg0Kta2Yv79C+UB6Ij8rgaWI/k6xGth7BMyg1OqFsbO0JoMuMWSvyoWKhSFviPo8xJF
9N2wmndDWbkYL4to0B6s8si84KrSMOp6rn2lc2HlDrQX/be+tIJIA0SmU/hmXL9Frra3K3vDBpAK
j8MmNrP3vi83kdUdmgI8d9fNYMl1nH6KdMzMyNTBHo6FAF4ti+lGcX/r9E6p4/+y4qeCpAMGRlAF
T3IIqm3m59mb7mw1hYE968VCbpPgqStaL2WPOl3lpb6It76We746gdetIKVwvtwuoGpF7WK555yI
zjam9UtXnoAVnw7mJksf6HhfaJv/sq7/ypzd28kNMBk4WbyGTEBVTPVGA+hJHlhp0W+bPBk+hMv6
5+sSly5uKPq/Wl5A3omp4bmBIBJw5+BEj2rc3PZdmRwLt/SR0g2uS7sEP/9aVAwggoACUY/MIZUD
cKXiioLfpo5HJ19Rnkwj95j94lg/0pmODeztxnsVPfC/Bjo6Fy1P/bYDMTNnhOiuHkLAjRScB4WO
HHi25iMXLWeml7PAd48gQbIcuxnI1GiQVFRvNAqb0dfiO2SagUV8g742e/KnNYC9RdeIAtQ/MiXL
sacpL9UKMi0w7WZ2mCuGT6KDk4bEvLXq7RRtLBIk6veVDZ0PoOwST+VKFdNEOITnKuRiRMRv3H3T
3ZsWHKHf9YeCo3O8C6I8xPMEwxyRtTYDsOiH8BZDjQrArQBAOT8vapuOmVsY5Uzj98r7FCDWIL6h
bzlZI4qff+lCzxNJ85ecnMxuELky9JBUAeWMURroIgkZ+WsYaxjpHLIDMHgmBbloQFPFABwXFQoR
pNjtNI09J4bPKQ3jM1P5ykjD0vIhx6GDGRr/hmyoTt0UKlFI6ROt9IEF5LkdBfp+/RQZa9R9S+t3
KkqyTx1VmFhHeQZpjaIJMh1Qq6C4tAJmrYF4Xr7P5zU80UoySRvAAkIUEFWVt632qbmPFuAS6wNl
P1HX0kHqrb6p0U4T36rsWR3QqL+9fiiWfOrJB8jJlXJAOxKmvxAmVL+K4kZxDqqR+o72WCRr1fx5
2WSzPBUlxQSijozWjePKbyf7T0bfshLD/ZYIGIowDqOhMPIV5ZYkYoH/uRal1aVTwgoxXxim8Ssl
txnzSFR5dPB15S7N1w74ktn8Kw3+9PzYRWo9phrD/W+X1U1StTvWRgg4f1/fsCUp4LXFicMwqom+
k3MpJLVI1ooIxlmae7flr5zRoBbR5rqYxeN2IkaKmnSH5olqQAyiyNuuMsIJIpLB3DWFttKqtrBL
GL/HVCWaFy0LYymSRkn+vyZou327ySPDDXqlaDCSYD+mHVECsxmoh0bRZiWemF8jkkGaIFECxrUG
+ZYMKlMybtGioBWqMAl51nlhAxjVEStGOBuZLAUsznhPwu07GBc8V2+q9agqdDyMi/oNnElKchgn
r40+HXf0MLnsqWuNwZclSKCsI8+NFn/g5s4gW+cS60oA5K9WKj9xmKdjiC7nwuOT7Y8cqbje3Lna
tEk0w8tMste56tl2vDG7ZNtNADeP+/ukRB+21W8my35RKtVznHybu1mYulnAStfPAKR93dwWbMDC
HuiwagQhiA3OP3nKkE/IiQpeHhthcu7VzsaKNjX/iPUafAIr0i7HQea2FLS2ohaAxDVw/M7FNQ4S
Ctoszi4wV/Ojxzw3ylGW+WRPO7Xf9HxLTP+6hguOFn7IBggoinuYc5ReB2blOEY+GZUPRIYgiVHk
szdVfN84h9pIVvRbOLwwABfXJNCM5u6bc/XGoc/rgUE9VOUDFiFeTb08/VV0T9d1Wtg1E8PwqDpg
bBszz7POJ4GGLUqSZAI6Dd3W1JCro/u4f9EyvDC7nQ1P/38TN3/OibhKbSbFnpdwiF8rl3qqe5+K
Bxq9lr3wiv/yqIJ2GEqfSxtgB5RWsWB1MrSKVfkAnckdkGh3XpqpQau9JY7Xmvupuqsi77qKSztn
Y9twBnAUAFt7rmKscXOgeV/5ogk6gB2W+e9yfOmVZmUpF6wRYAb/ypHce1y4YCBR4ZRMZyeA1Gp5
JjFQu/FzttoFNFu27ABxTwFXS0MTECpv5zqN8dA0RgJZtvo4GI9k8DWkI8DtxzvhmW5oq0HFwgaN
W6m+dcTv6yu6dNZhnBANNGD8yYR5hWWnVjEOX0baKT+z+tM2Q03smOsrJhpZ+DYfVs7F7K0uND4R
KRkq7aKhbC3sogVCiWlyj4W+NkCzuIEnIiQPRi197E0BEaSmh9psQhLXoWiSOzPLvwk6rnR3L73Z
TldR7r3WrLxlTodVtOv+V0Mf7FwBT1v8gIziDYiujyR2Qhdp3854b521yGrpKX4mXToWbuV2I3Oh
LW33Wb2pUyA+sWfCf0Xxm0MPFTuCF7DRX5ix8uq47NTAXXpiPa50UBKiaeXoQHJTpwFpUD/r6MG0
0ofGql5blodj/zzqdEtiAST846ijEThfceeriy/dHZlujVXPsPhZ/SuPnnjdB53rF+mDqP1c7MsJ
r/Vv7Vrj46IvmqvKcEVoopIDl3GMlaE0IJWqQdkd7fYx6sO0XAnClu4QIDD9PymGFDVnacQrYkKK
aSBC4ohVwkndaeanNne/vVx3BguxGNJGYE6ZQVwwfiGdmsQeS0MF4pfvOq+kzLYWextdcmwU4HBW
1iE10T1trhGQrAiVkzlAsFFJ30GoqACJ8wqyuhQpBwr+DuVgx4lnrfGPzQ5Vcj8YcUUhFGh5wCGT
nwgYsnJjrUH8hxlv1mme1uxH9N5dX8oF6zgTIh0Ms7CKqAOuuz8Njx3yOEC6BPUJlm/lplpTRrL9
hDhqZbNZjvMDPauoLKDCuobbueBNEX5icgVZDAwoy6Ze1phEzFCq81FZNfI3t9o40wbEpkjXrm3O
4rqdRLqSPq6GAYhKgSgWPUzid90f7fhoditvqiWbA5AONh8tNnMH+/md67S00iIHoVJVUK/K9q76
Sqt3Zxg8s/s5ofsSPuPv7QGhOxp6cMWj5VA6WmNt5WBugUR03Hqki8AlEB9UoE1p+V+31iB6PxEl
5yxQc8jMOptFAdAeCEA7on0DRqI3Vc7jdaUuyWG/ROEJNRPOoSYoRbgtoMDYEJuVP3ZN/quM4uqH
w1Ty3mstO7a2FpmbscpjwE7S/JBPk32wRkByb1XVpfuM21XlOUNidI/orlb5JploLQJFL8RKxLHg
RVHI1kBWj/5ulJuk1WfmMLR8tCvEVCDV0kKrfTQBRpRjJlSvqNc3H9cXZunAoOsBrQAaolQU7M/t
K7Y4E6yFPNrVXlahM/hjQABpKY9OQleuv0XdUPZF0R6Z+IviBjGaiuuzblPdqACYpeNGs9ldEzPM
WU7sPsurZAflV1oelp7RYFVECW+m+rx8sdFcrxMkNRlGzq3ozQFtxLMdG+pxSgZN9XWRdx+9pWc7
zSjMP7XJ3e/uQMWmFQAW9AbUfPZoojbf8WCJRw/4Ic6zk2ZmtiWV0feBVQtKN42wsm8mBd1aYelt
kJJG/RNPOvIdqhqrq6H4QrYfCM+YaQPfFtij5IboiAFHpc/Q/MyqD82401ywYFhPTHvStCGgw01r
bFCSvG4qC9t3JnN2iCevNsOeGmE4LfNJjqJnPgXF+H3Oq5p57nVo3+1Qzr8ucan6eCZSOrXD2MeD
bcwim40CVC5jCxzvuQar2jumAiSO7d34Dnmmrg5L9sTct+sfsKwywMzAkgSfIYcZuGyB2ZRzoCwq
d6wK2u7Z6VCXA0Yyag8whuvSlmJUqPuPODnAyDAyxCIVu5oq6GnUdpV7P4o9r32C6bSZACCy3hiQ
/1DksX4NzRqH29IL60y+dNmAUxXoDDHUjad9Cvro5BswqWPFH5NXqu8G853F6YrOC1HBmUjJ/4Cz
G0WJeYU17YmK3wp4C/mf68u6cIWeiZAuaiZEPg0KVpWCZLhCf4aihibKq26xK6agmXd2c13iglMF
+hWgQnQgpAEOT1pH0qtuP+kTwIzdm9EBJajjuc2PJNraq3u2JArvfxCcGIBaRQ3i/FC6TYFRnBid
sAP5rMrABBmPkwHJrvCGaa2lZiHiweQPZpsQV6nuRU7D6ICmA6Ae8OAWqGKWB8SmmzT9Kerd9eVb
skNMleAtAd82dxZLx14VihWJXGW+wU30L5e2wXPPyA0a9G1XTd7YKhr1QLNeHizidH1QpBgXCup4
KFZ6z5fMUwV4LQgKQHV5MYIqYho55ZjCdmoM+cTAd8UAfeTYK7Hxwi6CE0MFbwPGXVWY/PkuKobi
dOqUMRRSvRyIyop2ROHUzX7oawiiS4cBABm6gskxpOhl/BxRYsrIAPSh7wD5snxjY+op7Q2A9Qoy
bIuK7nHxrezmbO3SK2aGvAOqpwviRqRuzpVzSNOwWq1w/Sp/lGyLkNZTeeJhRl8MWZi5H1X1Futv
abkGy7q4qv8KtqUX6cB4pnQ6BBtE+DUH2AEJUvfRjL5rufDqPkyiG7femtMucf3WeGzs9yT+mKr7
dhXJZyGRdLoGskcYurEQ3MKnENL4Joy3V9FIBBZa5Xtqt77e7LTiEE9BOXoxQe+yH5XDf/C0eCkb
GFfBZXYxeWDrkR4beo2fdtxNaj5QCryU6mNls5cCE/T1zTCuNmIQGT1AszutiCxIEahG9GGufY+K
rTMbchOm402TCt+y+Ypql3mVmfBC/ZeuYT7GJ6FJBepkkhdAaYlJERrl1p4+4ujeGLddG29486Qp
L47+Bxzh17W92FVJ7OwwT8S2Tac7hY5mWjOtQoKcpzX8bcg8S0DfFagSgKqKZuhzCU2sxnrbYr5o
bi/U1Y0qXlOyNciOZ6mfJ2vTZhceHuJQasD0Lg4r+o+ki8ucADvvULR7q+oBd5ifdobfpp8VSVac
wtLKnQqSrv2WmWXc2pjFNVh55FP5oq++Yy9c96wLQO1t1CKB5PY10nqyOYkR5boj0NNNu3cHBKs1
oDJW3PZFeCiJmLU8EWEqXV4XX3RC/StYM+wEkIyG6fMY7T6P9Vrby+LmnCgkGbmbuUqdRNicMbtR
0QlJbOb1Dl4oa60Ea4Iksx4IGi5FhpVLoxvVeRX5XdM+23R//fAs7Q94UzE7N3sKQ+65H9LJmax5
ZijOHSCikg/GaowplU/XxSxZ2txqAgxZDf9yDi2iijkZNlyDk6XGrRKp3Is7NX29LuXypQJTQCO6
i9K3AcB7uSlI6VK7RL8s5jM4+eS1vtWI7hGA745m5vUDPfQtfKAT1GMTujzexDhSDov9nDv/xRli
QFxHiQRBywVEns6sHlNGeDE0U2d4ZSIGL8PUaGNUoGCo/J64AIECeB1LvDb9H9K+ZDluHVj2ixjB
AZy24NSTujVb8oZhyRbneebX36RevOtuNKMRPteLszkRqi6wABSqsjJnq5g1zi9YDqWLC/97Lf7+
AGZbaGaVZvoyCqNBPiTv3ETf5+Apgfx6kIkOsLwQo+LsxLWQPfeZ2RuqP+B9HwC9ZNajG7UfTeQV
g2LP7QfnOy8H0y3fmL2h5uYU6RJ8m1RIWuTgKS0HEFno9S4ABzzFE9LW2w9lTrwFCRvLyHMUHhB2
9bo795bJj0nSy8awLHCDkbRU9siQUWL8mdXPSvuYwrsWsMqEeE3HaR6tnXeoEaEwBZZfoCCYVTaU
KUyghI4jVYo3gW5SswBzf/zUGnYMJGVv317sq/ztO47+mmPWuiqgziJA/dgKwvlHPlVOT7Rd2aGd
sIgcSubXbXOrMaQib1nopjHPyyThGMWNTZQ3IBbZGfZUoZd5nEUvnnjJ4KpbGJcEIcmC6maT/TCa
i45EsFNlT8um6CtvlALbqO4MnkbbqikTVE5A5YiADzD3eVlnoVbHFY4CUbLEYKMIdla4k/8rUjgF
1rXQWMbTVVVGpx05y+VVGE3G2HaQ5Lak1mlVW5Me+uQkagN6xYem5ez2tavj3NjyY87uXSlKgP/W
YSzvm9zrY0mkmDlqt3KntJwY5JliErAkmSuSSTClDEd9+kyFe8iOcWysBR4IXJDhAS+DyWDmK0kN
AOdFjIAoO9RgO3SbweJRygKQkRxLq96cWVpOt7OFi6E9NJsFLAWYmBIUYJb8Y9+/395Ha8f/uTvM
PoqrnoiY3ENWTCJagYatiqikopL+nE0VbcZTVTm3La4uoEkAEAQFDR7rTPDhsgm6fMKc/xgeSeGW
4jYC6U7MiTqeFSbq8IIzu7GCFVCCmBS0Hz9RBN1FknxKQx585LpRDiVQ7Fg81uAPDqTlS559qRC4
QSk2ML+fIVmoc1AymSXVqpR25EtPhS3I1mVcP+ou6HqIgEjAf9Sca3xlSy9jJ+ICL0Gzld3SY4k2
YLn8BJ18yboDIEupbvuipqL+CSJ7TmiuHFXLOBjAdVAtRIuG2WioKxWAk4pwWO1RcBRcFKCeiTZu
TKHYZwGm7W7HDMECMhf5srAE9xnkrK/GFGepHjtFwdecRc0ZNMOBLOdtCyubzZBlAk2TpQ4I8tDL
TwjIVjrV6C4AffyzDI6ArtA45XDu82wwMUnSSNQz4OygFFuDTfFnogsHyRjd256sRP6FJ8y3GaJE
VYISkVDHqH43VgpKEOVJanXOit22g3GNyxUDsQzqY6CAt0TS00I8hRGkk1GN5lG+fXO3sB8fNQHA
BvEfU2dJFWVIOFdKjWf1XIP2lXb1VCY0JJJp+9KIvpdpFGHhZF1lOj6onrbhMA7bsQEnRBAp+YZE
HbCTk4baZDqEiT0b1eDNYRi7sNb9ycVEjGiNkuG90Zp+5iR1DCHCaJwDnWZT4g9Oi12nbzrI4IrQ
XWsUJ0lLGdCtefzhD7P4HgdNcDCjcvo5BqnuPySdrLwT9MbsIhQgtjmIeuAZqaT99qNkvtdTOZNt
wehzryzLfKDaGAwxOvp153u13+r9wawTAZTZTSKFnhQE4Y8aqKMfQl0pipUXRfheToYUUSHws9wy
WuCqoLqcu0NcxyZnq68dLEDRLhQOgDBg9ID5zCWuwUzCgLefg45C9WqkryXZjNWhJA66a7eDd22L
nFuTL60FcRcBzg1rADxRYKzR08bsHoobt82sxe65GebWaxKwTJkTzEjKbyl7SPzHvvusuOrJy9qw
kYtOFBjfkKOayLcuval9NTSVUEPqX32Wii1nnkJOSRiDmGsvxJ5enMzqXtMebju39uIAhexfs4v3
Z9fR0IZBivcAeACU332v0iJ7TJuEar2jYhhTJKdGcNrIErotx/DK1zOXujiOT1ALAwh9adio5lYw
SQu+dz36JMXPuQc5l/oQ9C8dBIO0YHIMPAiCRN2O7XFOAPzVAOgMi92k6N7t37JyQ138FGYN2tpI
IXqLn0IGSUM3XrUFFQTmSgsufCAzQKbF2ScriRQcxw0lAQEuYtTo0ndf8/OIZEOGQSPtqUiBZTHK
xFIz/9gJxRd0RjfN1DyVhEfF982MygTZuWFWf1DNpGQAaRAK9MW89cUUyY4BTH0rkPYOY6fjgBQo
iffxDODALgkFfy+C9y6ygCQIv/xJEQWrTTQJIptZfy/KU7yJQV9RUCIkqUynzm/fw0QdX/sAYtw0
JmG1C4de3U2imN6LMS7kPOCJOa6FMLJSdFlAKQoWQxa9Ggdz04b9CF0zoe9RBO/uRKNRcSqQd2D9
E6euk2dUZO7V1AOFiEKh2Pl1O4Cup6oxYYVnM1hrRHxO0DBcflA9UPVmNLvM0qYXtRTdUMpezSGn
fZw+mWiLBIaIGazekpqaSuF4HwHy36rRUys/kS6+86XnEROpgsLjc11ZG+h1gXVRxz4DayG7NlBW
VkgtVhD5yEE6VymtbEX6fEJtifpF6JSzSOPpY4TaQtp8+pX6dHth1jY5mG+gtAl6UBEP/st1IaEO
zsxIhMiNkP1QAMI0G/1Vk9J/Ty9A8rFUxVCGwVuBvXeGeNTUCmE9DTPVIPq6aH6EXoZZ7tv+rHzo
peIIokmwUmBIgG33NBI6wJIxgcBHfh/x8iZvgAzWkp3Nu158IZ3rdxQkTEo10hRqIGACTKNtGGxE
xQKnFufXXK/uUslHWQPirrh0NSZHFFMwkmJjoRyngv49BMIGk348Ja2VMwNfDocr2lwGSrrakm+f
3RBCaiLBDaFva7t3p+fl36NHqbWznia6Celmw8l8r+9baKmpmMEAKyD2Ncvu3IW9rowVbqQAArkQ
AR8BNJVfx5YDerl+JlyaYQ59pI9K1Sx6feBioQM5TiaPe+n6Wlks4N2zUFmJ6HZfLpyaTpGUqbCA
WXtnEl/y2U5yjOnMjv/PfHjf5w+elegAAoHFdpM0bfYRCjh/EjNu79s8gvx2m/07OAlmzk8TZs3A
7KH2WltD+LUy3b5Cq3USJlDchMfZ/6qbyJ0AKaQz3hMjr4a3tpjoX+G6xKWJQ565MovClxTQbeKE
xZM56u/QYl2SI3/cz8k/AyUXN//aYtGL0QC0WQj9YUuZW5AzGCA/2yvR3uC9VlZ9UhVU1oCZIzJb
l0xCDbVtwM7A0NJSSSwouGG66Zi2P3PB4xxc1+klfDqzxezisScNqFNhC49X5OR/RAk5+UbzC4vo
HzMK3BFxC8Xtx+fbhld8xFPMBMcG9CPgIpPmyaYRNTopcmvIvgKwxso5bmZCxXinm7HzH2yhzLAQ
TAE+930Znp9UQ53l4BDMLRPIdIl4suyJpYqJhI62/95QlTDbgd40cg5A49n0tWynSg6mCrYaTwMN
WWKiACZhVoWzfiv9p0tDzJ4rlanW0hGGumyfhHdz6Y3Kb9lwQNCYo9/e53v0XET5tSi2RuN0CeeB
cJ2qwjxBLw+3HgbV2FpRrpppgGQUJCnqYAtZY7WRZg1LP1R/yoHfk5XfCW/meuUGuLDJ3GsKTjM5
I7A5k9Q1Y1fK/I2u7NSW11HjOcccKmXVqnE51mjAAw8KZnw4NVGQM0kqyA5Jb0WiGxnvt4P0+o18
saDsNAXucoiLy3Au11Fz27WNPZOfc0PwyLfGuN7+uzWkpSIIwfDEAsPV5R00jWJfo4yOh38ROcpU
WUl9EFDpS8BaUXUDBZSGk5Ssbfhzi8zHU9UOs6k6KBwEqfSaEUDSxBoMzY3CDFywvOxk1ZqMFyza
LRKIVZjMD0CVOExq+IfBJ3vKdapCqyOaClsOXnOB90i/+naAx0H/EoNqS5KJpOtyNf1BHvqukwS0
Wy2wXktgOww1GaDOOyN+wIvt9re7ylAWa5B3gSQE0rur6yGM1LxJfVgTzF9NFlgD4aRA3xfZxXOQ
scBcCn5I2qqI0Y/QvPkz2qRbd978UTxhV75G1kdPEwtIIhuL6/6z+AksazqOFGAOkRx9S2GcHdV9
0ehRleoCzUW8hFB9aI9N8RoDtJZgAiLDZP7wz7o1jEnm46UZqMt7GeERTD9TdDkxUVTENE/dUvrV
Gxi79jl77yo9Zwwyqyt3c9vnqNvScTwasqtACV2KvNsxcnVUMjaY69WfgznTQ9gIcST70KUcOgqo
ekU4vqzFIh5XqNSg0IloZM4RwP6bUI5gpy6fUwUk0jxRo/XF+muAOTa0pJ3mrFgMjE+oSEjSQzhy
0gOeD+bl7m3VSYmTFiaMEHy5oIGcCS/GOCbYGcxCArlStixTAwweCV5Fk/Md1pcJjAHgQ4DwG2Gy
AX+UtR5DtPAhbhYYXl0/ytrj7Zj6PsbYY0HDcDOqIwZILNncZtBCTdB6eKG9yN4bpiZfU9D6e5KX
bHOv2XBRwatBfGaPcarK1U6US9jrXelJeuvfZOsxsXxoOdwfhoN80G3R022OkzK+9i0nmYgm7ZyE
AJhhJYPEDirVqmt7Nvd9B1VtnWr6KVxUBQBnTRpb5FFprsYJcNYA46moA7KUwFKQaIlew2Pdv6uy
k9H86xt6ORbO/j6zm4K+72OQZeDqmDSLKL0zGVSc71KeKAbPD2ZLVZoSqNNyxBV1SjNp44s8RMD1
fNelKyzWtyadEA8BTKDOoQf2z+hhPvSbTxDkhl/5PqWam7nlC0/0jmuWSSwi34zmcYBZU7amx4fs
S7QimiEj3A/vPyY7276YdqZycqfvV+xVUOLTSVCVRJrBvmA6sRNE9JIEOpu02qmfsjd5xl311drP
93FKp1OIvRDYNY1fxD1PNfcanb8s9Zn1ZcucXcrgeQcmwseWmFQ6h07xCnXjmo6+I3jyj5Bzc33T
QV37CnoXlHqAYGExR0UWScW8pADxofqqXmUL5fC9tpW88RGqj7uaAkezT0TKi9lVNxdEMbTU8Q8S
yJduGvE8zsMIN8ekoJpql2gzxMdasZRpW6p27B8rXv9z1VnwzOKQA8UI6rGMzSbx+64U4GyWgQRc
dPKOVl6+Vx8xC3iYXEzmPwyb0Yudf8Y24JueG2bOVq2p2qoXYTgxj61IJ+mZALdYqZvbx+naQXBu
hjlN8S3RJ5BhRpTfMb+G/tGf2wZWc9VzC8yRJui+L/vAe2JAzaqovCtdct9SGhyawNaoQV+aTe49
KFv1nrcvVq4nBe1MkYAbBoUMdmhFHstQnetJoFXzIqFXU4EEfzvyJtJWbnZYwWWwQCUwk8YcOEqc
mWpazzjniJOjeRLWCdrXPNHvle+EogXGwkVUJYFCYQ5s0a91pcshaRybL6b+IIacwb7vseWLXY0K
JDiAMbsPraRFWehyc/VSpWKyOQut/WgbVrAxTwo1vNj23Yq2brRPnHafPRArcEartebX+8FTjxpe
GjnN7psTzpq975DjcfbAuLaVaWC/pNbtULpaaeYnLmt0dsyFRtQKAPSGmB45JsM+0RzF/9ftABP4
hnhwg0oIQ+vMMvcBpotB5BtaZXwQ00eicP7+sp3YVdbQ09EAzNN0wFAuXRB6MYiyoQitVvmS6qeh
3Q2hC0qoMOIYuor9xZEzQ8xaBaaPfRFAiEHGdNbg7yL9J0kdLtmNvOxe1qHvXEhRkNVe7bF0RllS
KTo4ZGuvIwX17AHDbsefpQ1ghRV47SHa9Va2DWl8VB/SR3Ob2cgAPOG5cHhNs6s9Asi6iA4YqvaY
zkcX4nJxlSwHt1k+hJYkf7WR3WHg5XYArizqhYFlMc4CMGtjSZsiGFD10+y7YbYtgUjl4RZWYgRd
N8SeirYAJN2ZGEz8TPLVdrFS3aV+Q3N5s1BcGCk6KvZth1Z21LkpVvpbGs1CkUaYGud7Unhds+sN
Tka75g2qId+KkRj1Zi/ttAjJ0LUKPgr5JCV0LPZ+A/UxtFQTTsivff5zS8yNmcvaDHwRLBXQxItz
dLG547hXbw9E2LkJJsLM3BDFoiRYL1eXadRQ2fHt0mkCbwIzA87N+fftD3T9pGMsMiEXmMA4pSMs
1oK7yCxQYlVWvg8OFVIt8qkaFg8MfV24Zkwy8dcKM64IApPdLhfuSrRMrT+mNVriGyQE1IlKmS3Y
k3fb0ZVIRKUa8Q5UI8AlbPOwHYY+IY0K3lFU6JIXojlxzQFEfzfTmLMKNjB5BN4BouLUuty+iqDN
fT5qodXb1TGgOjV2+il7hN6dBfadL82GupvV0uSQH78UZ6BHwN4g4pHRXwMNPm77e/1iwATp+Y9h
otWos0aFjGNoTVYMnVMztAkG9u35QKzwo3V8N6djZRW2b8lUK6jPue9XjrIL80wkYz7LN1ofa5Eq
fwxCg1KlVfxYgL/9tp/XXWjGTyaA40WTqplhaHIUmtHmWLuykz6DQeex3Uib2XvpLeJC0NUhdns0
PXPXbdCc4UyerrqrgJcBryRk8jpz7xrGYILqxgwx7WnHCqQObM04zTyum5UTCN1i4J1BDARWNHaU
t4sUOdLmLrLUFpiW5yh7ub2Y168RLOa5geUHnF1AdYB6XtTCQPvZ4JAzabqN9oFjbMOP+SieVC+w
stBxzK205Vhe25/nlq/2TlTJVQ/LjVOktH8jX503nyDXCZzznfCzOjQR7nVeBs9bUGaT9HKXhyB3
iawycZvsvi2/brt1HRbLcDda09/F7Kt0Lwoh9NjUAVCnsdxuTL89GmRutm0BIG01hjz42PVbCA2B
pSeAnjFOIOCNLr9fms5l0vUoiISKNThA+2MKrrWHXzM17DZzajq5MX1NnlEyCKzfIro8nO24nN2X
RyB+AIZ4cH5jhpUQ5jMSYxSgw4kf0Ec4bJbTjpyC+4FyiwTXX+7SEONpReI0lSMYUp/SA1C5MwVS
vtxH28z6IX/KrmFSHqnaNybqlnPMmZZk+aw2GmwCvPos7kSLvHdYzz/GKbIA0KXZB0/4Y205v6Vl
IcaErceSvvS6DIncZfZMrVRKYicP7dG8BwRSjG0oKVKfB9RdjSBckyYIyIBYuyLWFadei4U5xCTo
QbHjbeYMjung5kB3BIJk8VfwrN/1hjVR3R4/O3AWcQJo5RJd4Hp/fwDzYSNTw3y1jh+QUcUVNlBA
lQ7GV3t4+2240260g/24x3SCAwx3QfN98kyAJ7TE3bGdrcqnwGVwftHqHj77QcxXxxtonM04QnFh
crQGLIq1GyFVxtD+7bNi+TtsdAGOh16lgSxWZjspTTp3ftdBMDsaT1LYAO7rDuV9JzduOfy6bWot
rMAxC2ImPEXB3MzcVkmlAoFJYMooOvMhycXxYUib/Twl9abom8iSp+FDaaZxn0Tj523bqxtX1Ewd
DNjQNmHHXIZAGYXawHKqOJt8PXca3tT0cuOzCwkqwOUxj1EWwC8vD8EgBp9ZrsWAV6mQ1ROQ++gt
CMSjH60+WT2QOzrYy/+DU2fnLnPsxUoXhWWLkyGq7mMwN7f/jEQGwu6cH4XJcpq0JWKviJA/DMeH
Zv4sorcW6g5TAn77mZehX0X8YsxUMEqPsUgRI2qXC4i+bFDHHchY8PpGZqgLBNN9+Vth6m9CCjjq
7bVbsbao7YI1Z8mfgCe5tCZGOnjKiriyRiP7YZRtv5Ejo3ZCXGUPvT/xgA9XiQYoFMFHthS6AJK8
2mZh0EdGZSaVJWIcnXZVAvUaSU7o2OJF8u+egZx8mQ1fgEcsA12UBr0ZinWFAYHSC+vcyft+O0b6
pu0aTv55tavg1TJ2hIsXEY/Iv1zEbhhAst7AlBG3m0wfvVBv7NverC0cZppwXKA1v/ToL034oSCi
rZNXoIgALWAfNL/1UOhsedb/3DZ0XYeHM8iisWbYxLiIluPrLAutkP2WZT1U0C+B0pvY7SGK4Zi9
vy1F3RPb+pjI1U5KSlfyeUD4q5MRE2KYscD1Q8BQgDccY9pUpmAuQHgkdspRSA1HKt7N8VGXX+W5
y6jagdOp+vfpbjiM6R+CNFFEvLDXPMicuxiI6MqS/clp/dkp2nQrZb2rVfUduq6gPGtoJih2lqle
PoUx59NeXT2LfbQfABkG5FBhq5J1l7dKpYiVVQ4a8MnjpGP4tT+C/Tl0SCxkmP/rJOf2V14LpzOb
LPNZJ/TYCagKg6PLhgbeTxFESHkKPe3bZtZOFx0eLXUugAwJc3Bmep+iQyBXVhSZnjiMn5WkblC1
36Ci5N42dY2pxzICUYXGOA5NvASZTCGqzZTMQA9bBUSEl4lR0hM7gISWFLV2Al16o6vsrH9NQLDW
94H3fzTPuGqMkBkKKphvulF3sgwM5yQakEQQiJJA997CDXJC3jLhJR586Gp88I36g/MjVtiAgAYH
qgx7B+0EtlEZoVMBLQgVNaQwvtdUiNYP4Gcw/eqXNMm72Fe8Dgp5XYihA5xZHNzS2seGWqMKhIIE
1XiR2b25UU9GbeqVBU6ku6EZH8tgfhQC8a2azffbjq6F75mp7zPs7Ixa5mQhgmLAVFt2djHl2Snu
UYXQasKTPFg729EvwOQXauAqHleXZ5I8tYYCEUXcWNAdUKryfSDq521vvisHFzkTQtcEEHCZRUeH
hj3cM8ycIPuTS7ArbysCXAOSwd9dsklThebNW9hqey14mcqtPz5V0u/YLK0qvRNKN5s3eu6RCSpe
Thl4aukOyvb2j7v+qpjaBWAPgzzIizHOcel/M6oBKfqotKTKlqWZdoC8TfJnbD7+BzvfvRkQEILt
grngRrNXelCFl1aR+lQFV3EMzFSq7EjO07Ne9QguLUkwILRs0zcUytoforS0JkwytPOjTt4m/zRm
nDT/OnAglYpSKlhewfQKLPnlwpmjSgbDB8dcO6SaVQmtZvk+sv5/XzbsBLSwMeEC7momPJtOUJs6
BNliX47pHgx9wl1Ry5otQyAL014Nhx75euMtVLmYT1+6W6CwZb6SBCTJOPugG6t1H0lb56mdbmkF
L+FeWzsAAZCOoul6DeNGNq8k6YJjHvVN5v+W07fbq7YcxpcbDm6AqAq+YAYeKfXlt9GTsJ+0rC8x
/G4rJfUxk0HCvSSraCtsSffntrV1b/5aW/7/2WklSX6kpAmsRYPqzGJw0FIebmrZhVcO/W/mdCWh
pKRGpaGrVIJtaNN0bqh6k2gJY+ZFGuQiAJcC/P62UyuRICuouC5TbBKqI8y5YIxhbPajAkZcNHzM
2RVm0QYHzm0j10UfbBwTJFILQ8xCj83Emz8OxQSuCbD1q5mtFaOlGwImkGK8keMfU6w998UrnrJ2
4j+AWuFzEss9xDFrU7ErmTfOds0RwfwY+fI7NgPIKf0lBzfNB2HGids6AWS5E9xGtDV+5F2x7yGy
YM6Ckw534zhxTpSVJceDEOA03ENQRmbby/KIukFcoG+QBcYz3m2BBd6wxkqalJdMLacGE04E6j6Q
FFqgFUgpLj0tSimKMDNUQy2bYMxUaBFAs3hf6cGnqnWnpALF1O0v/Q0tZk0iB1fB6oVhQVRsL02i
MZ8bg97WVn6Qfy4V08j5fI9tcA47iRW6tQP6DafbvAxUpQ//PkBoYBJTwsQI4OpIX9jkkRhCqMpD
V1vNRJuaBsf8foZZW3WCu95SXpWU4lV3zJ43CRV4mesSN4zrYAvCMN/SYUc9iFntAGm/oBRQPJHv
ygNwGTtjm1g/irdim7g8ebK1IAY9EcgYsB/wxGO7GKPigwypxToLT401b6CG4YGMdDs7AHZsYs51
wbXGHH1hqgezZsK1ytF2wQ6A6FNqR5BuOL2Tfc57Sa28XbExzpxjgkg300qSejg3PYA9BYNwFKCF
1Na9mF+PXu6Iq692ZmtJM85OdU2KsVU72Bp2nfOBYp3XvUG6noIbyR1PvDRs7SS8cI256CXSYRZ0
ca19w9jiL33f036HAS5CSxo8tV798pDx9uT1c+JyOZk3TQ7ZsUEqYNN4yDahDSIwe7LCg0ldNDcq
u3WIO3rvUAZ2c+/19nlw3RrHaAUKEEsBDG8ZgJ4vl3dITaGZatiWPs3fyS/Xv5PRz+hcVAfmXbHl
thdWjrwLe0ykqlEnJuXyOckdntwnqNSic9u+VUC5zAGVT1COsdI7w8o5V9zKzX1hlwnZdphMiHHC
bmeVLtglPx5VTxT54bruHyQOAG9eIKxM/KSSXIaS2eOE28le9ye7U+zQBvDRMq3a6X9F21/hrttP
3OHUleQH/v21y8SQmWOIi8QDVAnfkl+oMgTUP9QftSNZo5On9OWBJ0K6ahB1dQjVmWiDfQfW2b5U
W0XN5SVwBmE+YFx83+Y8/itl9cQ+s8EESz9jIDuPcF1MFkE3u3FO0nayTo9vPhB16JJQ/Shv76KX
Pxqd3oH/ooHrhfvIJkfz+cX490xMxSgnMUAIgqIZW7AbIjUyYlnGTimey+kxzb2JtztWnkwo+yHb
M4HPXVRKLjfjrBpJ5SdqbaVktMHBKMlg5fDvgp53Fa4a+h5IxSsYzwxmNwhFLBVJTmo0uq1pF21m
Kr8Tqj5oEGMZaGNXBxG9r/m+EzmLuHp1IMXES1cxgJ1ge6chqbqqmQChG93e2JT3AdIORzsJHqYN
bx9tqz6eWVr+/1mAgncBA+gjLC0EixagXxTKkP/BBIR5UFM0gFpl90DUpX0wpPheVf8Sgk/EVzZV
tDV4mcuqJwuvBtqjSCbYXKLOUbDuJ0ReIBy0/FGu0DC0Jp6m93VXFFcBKkrYzRKoXrG1LhcsMTB1
6usarr7P0QbDIU083QmotjUOYUpnp92F9DjQYuPf6VueyOoScew1j3eHjG4WqjPgs7g0bk5hOVY6
IlI3uvtJMzZda7rRQDhfbN3Jv3YUhosrmyWIeI2wM+0wRN8rFvipBEvycEY+Dp7pzCoNBcCWCidc
Wq4mtFzsnqcO8d1cuvYWhNSoJcjISZVLb7s8CqWkQOBod80v4zHAo+sA4lx7+tTdehP+Umaq/Kyd
4FncgJfvM4J0HWchVmMKL45FdRCIZRbLkwQkg1ANfkE2b4fxQfcrDAM4BgQW/sMWObPDHOFTVhlT
EcKOnyluCE4jRNhLF2cYP5w47aG1K35h6fj/LjGH2sLmFhsdTE1CfadJvjuopl1UhSVL/WutfaZ1
iWlHTvK2mkCdW2V2jdDmytzXsDovXCgJJmb+TBKtMGuMtqJOtuCZQVuhBfWMIW/lxrm9vCu3MMbg
TDBtLBBUjP1fBlKNnD+Pcx+BpMcWBM8g3PvvH1BHhxlIYJQG0LJiQhUwWtC/L/T+uRTSCfqC+jto
faLZvu3I2jqiEgXekeViWIhdLz0p5QCQiS5qrAy8TG55IlvfVe/E363TO9CpgBYQz+JK2n1hkfly
ujx1ZgOyEKCxUqB45Pvh3mwowB7NpuYRJqx9p3PvmLSwl5OuLBZbUQVspG4NqOvdXsCVA/TCGyYB
lPtmbrMAFkpzq4LlQmggishbsiWcmHPrwghzSmflqHW1CdyG6GkPod050JxMncF+mjz9921/1jIF
zIKAYAL6VktcMIE3Z00q1kWMQfNPfBVMvmQUF9FIa0+7m985xlYyTWR1BnAUmMqWCducHCNoOwRq
2liyZ55EZ977rmmVmDT7BY09j4v4Xw2HM3NM6FVKqQxqloNyslfsBuIRksH7VCu11wuPmIhLfJLP
0MtpwARmDw/ECwsau7VOJc+wO5O2jvKwPElKWhyiL/WZs548B5loBE1jpc05rHdWsZSWjh+9K1r+
PVSDnorftRX+uW1w5dl14S0TmMLYiWNVYkEH8z5KHSGnsgI1ZJ/mCgfzu2YJTCCAVwB9CIXOxfOz
tFIZR5z2YtFYU7avQQrtowT6u4jsljdFcw1uxrTVuSXmRJQFuZoFGZa0u1igw07zVOd0fxJLWm5G
Gngp3UH0qaO+0/Eayitd3kvbTIDOda3LrQnbxUNPJWpa/inxeuerA6Rzc/vTrQXquZtMoFZJIINt
tGws8jM/hKd2I9wJDw3HCO+rMfHYdlkY1QX8MXGLDdIyiKhUED6DQB+Pl2wtucN3W+bMwCkPGDPj
UAutmEhKqsWh2QVlTIBaFbTsnXFbb95Dt3gz7+Tn8HHaxygSJB/JxEnt1mpYFz+AcRYErU1tDvgB
hg/Mff1WFcdlrLX4VCc7B33V8EnI59wc0cRV1JpCMJyr1nA90vQdvH8XgdmQdTZ3ELJaFuEu3k4P
miftDW/EhKv4O9v2FNAnt6cjEPoSZl0jV8fAW+iNJ5O+6tt/BkBf/hZ2QKfK6k6cJvyWGRLpvfZA
Co6c1ndVh70XtUV8SkMpBAQpzCdP6qiaI7FurB5lCaQwXka7Y4gcJghRFSUbzFFt5nvR4+2dtcIv
GPf/GmY+dS5gtLgZYRhzofNWxFtXBEoYUrfLGR+VXEjysu9vOcp8VgEM6EmdwV4ryXRA56L2qSyB
o9l0bp8Kyx+6YYgdfDeECYxdBr6ZOFm6ZDX+nkS7pVeNPrVKXCX8vG3vemBnCZK/K8m2XAH1imOw
gDfWz2DXVPQPbhDs2tlC0muLtINMKidh43m4pCRnF0lRgIo00OBhF2/y0q4J+j5upmLmgZbZl84z
t5YfnvvHpFOGClFatV0iBXxgoj3WH0F7z1nDtYz63AZzN6pjlXWqBBuY+7S6P/5zuhd+xlQ7Kv+h
LXrxtZi7sWmVhrQSFq/tLDCuZtIx7TkReE2CwEQEcwemGmmD/7diLvTjLHmX25kHSE+LiEi2jQs0
/Eb+QR5vL+J3Nec68kGvhskCUCGwUFG1SpNW0+Ga+aTt9L3yw0T1uKH3PWoxoI5zS+sHTk4rRWlX
3Ii29P4fyk1Y278/gPmKQxUnUR7hK0rQcqsOIOoPFW/k0dWtZYjoNgPCrABuqXyv/ln4Q/BQF2bU
AkH7JUK0PqMmd9BwCemrlSQ6SqmYFwHVAhPyoTmmYmfAEc1DX8yKf4eQ6DtG94KdOqk3bAP79qdb
z5rODDIr18VG7IcmDKpIMOg00B/vMm2epk2xGTinx3qYnNlid0CFUl7tw1bhiL6jgVchoaI1UrJt
0bGnGoWw9r1//1k+Bk6L5lVyUCCVwvkVKx8Rii9gB0AfAOKL39W2s4+YJLWfVjKI1TQ0rynarnav
jjwRpOUOYz4j5rUMoIiAVcFVx3xGoidzG5sELaKqtgXNq5M3QHLnHgMq3Snk6Z+vuWQsqo6wKS6d
4stjuUqJNtchgGhaKs5PWlu9TPikvIbtykMa6EG0EtC8BCsGy0QA4vFqxoMG92dg+6OdNpkdaLQR
X+X2rU0dYzxA93fm0Yiu3AHnVtlLNZuhsNR0ChqNxe8yVX/ItewYTf52exusWAFU6u8KMjlJB96v
okgBUBwi8D0TeddqBG8xbXPbzEpYgCUXFeuFdRotTCYVqWJfivM+xBKikulWvQ4xzARqInlenKra
NB59UlXPUcpl+1i5uAGcQ5IH1AagGyxXfduHfmdAIRp0ONvAcDrzvkZ6G99VyU9IAiXJw20/V54u
F+aYa4gEcF8nMFdP2OWikwilE1c16ou2hDC9bWwl+jHcCdIDDZEJxBFzqgTELLtsaV/O1bYHd2EK
EezbFv6HtOtakhxHkl9EM2rxSpmysnR11QutJQhqrb7+nG13O0wkL2G7O4/TZuUJMBAIhHDfiCCv
EJjlGGmqlVE7Yjkl9K7zBEKMz2p2LprRvQ+0tW/rpTAHORpwJyQxgHTxqRkwRkVKb66OUpGBcu8/
SHNfrYqx+VKvp7EQUX7tZqG6ZFEyep1Qkadytp7EvJU5a9s4YjhgS6c3qHyWG/TaSU1Zp5aTBrje
esqzfU1/cQsEW9uHzDJcoAqvi67ba4i+SsZskmcUsotHqtlDtxsSSKO/9Dkn4NmKs0Bb/g8Ss3dj
CGXOuQTSFIRB9mf22+OPGUUZw9Oe1RfyWAYqQdbvvnVseY81KLODYNOBymYCUDPeZXBP4qPRu2rn
TtFz1HOeh1uH6h8sJBivt9LsQKQQFcBqxxc6HExenXzrwQ+/voQ4aIIVobZ8DUByYw6lBH59vhSm
I3rZeQjGhWMfryVc/AMeMJaLBwyPJ2zLDNe48jXuRKIRCWHgUrLIJ33EYeqKAqfCsg3yr6uSfZgN
RWqV2YCrEs/NICkRhKfFQTF5Qk1bBgGW2KU9HM3hN8pUoQXRNaJiLYb4p0h3Q/Y8F4nd1yD0xr38
4771bdr8Go3xgjJEedqEAg1DHfqXGY/JXrcgtYJO2XAGM4qieCOs87GViOaACbU4GRBb3mNWqPGg
CUydMe2bfRRnujvUrem1Sfnr/k/cqpSiWR5K5Zj0AOUHKytACyWfMn2CUSWy17cfHR7fXSS7cWz5
Q/VTNkDSBr5A6Gk5ktifW2VS7aFCxqv7nM3HNKr3gqQeUDW6aCL4PSyejtfmHq5/IGN9Y12AtN/C
D9TPox+DSonsUrzQ1NYJd+pLts8PEQ52gImm+zuzdZzXuEw8OkSGXIUxagJF8tGq54yX1NmyxPXf
X/BXQXWhxmqiqnAXMk6Vgp7BtneN6BDHj2FvWxmnarp1vNZoy7+v0PKyhy4uZoUw+fs11Uve/F3j
sXtt3flrDMba9c6ch6rEjgmpHyevCvI3iStPz/e/y1bFCMMGYPbCeBl4lNiXM6S8sjFLsZRZfgdp
olNX+1pq7QIZRS3Qm4OKdoKKl/TYWtsalPlajaVUZqjBCof+LU1etRSv5bPOe5Vsuni4dijWQYN8
mdq7/kwqelnoBHU3p3Zx8Gb30gTU8PC1vPIceiZyfoOtPvPKllvGgWltAwUxjM3dDMlSo+sz2cSO
DmXi0QoVuKZ/n3OdU1PZsvg1DHOSzcwMxaSCfURtMBcuzrTdz5h0Bx+5KCa2qnAu5G1LWa2LOcJC
rTeD+Ncgp9YZwV6vYlAMj4lTpsTuUIgGGF2iC7SJbKvqOZEHb08Zg5EjCNYrIvY0FJ9o95l0QT1y
BG23Yrf1fjLGIshGMYsJjIWO6XNvQpvIBHWtUb/WUe+hk4jz+bZyp9YajznfaBBozTAFnvLiqofU
N74pkJx7afzZmfaoL/rN5N4/68smMTkBy1DAToY5RMySsg1sKIxptAmBqKfC7ykefuSpyoHY+k5o
k18m/PBMv2GpVWiqtoOFdig1exySh9R4FUWex9r6UGuM5WCsnK+CILvpc2AYsjMeMe/7LDjU0/dD
bM9P3b4/QJkoGD+lXzzmos3FmegbAeM+mq3YgkVvpsRMMsQf2tz4YZ9Qu2hKOwtDTqLjlrkIiWWM
5OCtpWHCAQOq1yucNKOd9HEAH8GLHhSe9FO4hDjRDnmIKDJkruSiUT0Q92Znz5OtfkMb8MH8Kf6M
3k2fcr7oxvDD8mMgxInGAjB5s5mklhpEh4hai/YFzS/w2gCRChQ4DV96wEBpbBPQJzUn5be0J6md
B3Ggv/Fc3e3GX/+ExbBXXxxTXVMNansweMQHS/ZkdNfxnja3NxIgMEiIWTiwdoJ04Boia1SpEotl
leWvrv5jqb1Nkcnq/9w/gre2ew3D2G6CenskVoBJIf7R/xCHfVicC3m0J5HHl7JRX1uw8MJBsgxZ
eXbIL5mTcY5CYJExDtLu16zqx1b+jvy8ow+lLUGQGc3tYJhPfrc6dY2pP1satCVqdJnHpi+kjyNJ
Xu+vf+MSuf5RjNdToVIe9mLVOni7QHqk8QR0eU/7ibqK/m2udqb4oPAEURbzuPZ7wDQXWgewH91O
7Im1NRWKjDRTZopPSaa/pLHBCW9vL+NrCGZZSpQI41TVrSPnilfHziAFYuIKJdlPwiECde/9bdw8
EKsVMdbadFYrRA3goJRmD5jei9IG3PQVB2bTWlcwjLUOegnhuxAbpyfSjjR+EaN0oizDexhg2f8H
SwITBryMjGEntnOJDH0U95BXcSQUErUKXPith2H1+yCb5mdB8ApM2SC4FFltGj2v03bMsKJa+hOh
iwiZOgTWNHQgU2VnsRPptizv7oNumZ+FbkdMpCLjD9WRa9dizKNemRo+Vplh4LZWHtKh5gQTW95r
DSFfQwgViFIqimUJNHYEzDFBpQKpcaV8u7+ULYNY4zAhIK0S7GoJnNxIENZe8LCe0XIPfdxW4NgD
D4rx+ZVcSEmjAiqRczcy7bKW0crt1O0ppT/vr0rmfaHluK3ulzpP9CkTW2zfrgMVomyb53avepYj
XzCz6YA3FmzDkjcHB/MSPb/FzhtxNff+j9jyIOutZTwI2i2GTmwXy+xyL8u9YS78Af0ImnQUiCsI
v+7DbXmQNRzjQSpwbEyFCTgMOb0K8oyUHqYpqxL5ivtAm6a5tHegKxGHgCWvkpDdUISuax218mcF
CmJnk3yfedayuXsrFMZTWRZNMwyctg7NgsHsdwLInWh4HJvMK81H0vn3F7XRZoaxlhUekwnNq6o0
wM/eYgjVNv8YxM6+Ka74pHxomU16uySO8I4WiJ38UPkt5sPIy/0fsPn5FAVpNwxSoGOKsdhe0YQx
mrBeIYbmDqEOVR2dJwmxeSxWIIxJkkmPhL+bGqJVT5Q/aMe7YDZacZbxoGWudeGMlthG6TkBK8gY
Yh9z4VIVjzn5rElgjD+p+qvuL3p80MszEYJEfP0P9m+Fuyx9deJDsEUk0XLim5m4EuRWNQMRUfZ8
H2WxAjbwWK+O+UpC3Wf9HAKlyh/U4rc6nWQk1lDYI2UOkZDUK/R/m+fkej+ZTzYWZWUhOwW7aA5W
/AnVQ9J8ary7euNMLx2/oMJAezYiZuYa6JEFmFsZKGUoOLGh+ClKRYl56SXKuQU2UjiAWEExH4pA
JHgwcjyFoJRnvUi9Pe/oeQ6Es/pY13a2B+HH0fqUOE05G+4EVTAkQpEQQ5GFnVEqG6FTIJreOm15
NsPR1iH0AmVYVSqQUPe6gpN62DjNV3DMIltlSKGAALhSPmXCsxTvJIFjircytOD7WC+JscVRLwez
EoFRa8+Q/xNq8A2du9Ttcwj1UU/q/7SqX5tH0Xyq+6OWPzb0Ap2EDo4t4uzu1pMSv8XE1qqYWTDY
YrDUiFC3HxKs1yUPyqXDly2+q84zPfWndhc9d34m2OFuoUPW7UP01vAkLjaCi6sfwByTPBRQyU/w
A8bQD0e/jNzI+uythzIynPsugLtW5qKtK5GmVAOUQtwq3okapkzVX5H/Ozn9jP34o5BcuicgQs1P
nU1fywCUz/d/Am+xzN1omsVoVBB5hRykO6iuCsawOvMo+VLi9/8OibkVU6OY2hy6XA5Yf/rwWKWH
KX1uppeQ8i6O5UQwnnX9AdnuVBWMSGpcA6mWT7X61SacgHqjKwlDgyqaycD2YC48E9cXRKOWkA5R
09aZxosWXjDjMqZ+pfhzfpxGF4tTSASxSZ6cz1/WMWZhGCrHoVBAuoZmaOaxEJGmKcG63jpWq7g1
/NsI+vM4iFvLlgcvNcE9lDjE0ndZeST9WYiO0IietKOuPAzaN314QheaLU+Q/iNBErpx0Xsgmx7E
YzL7Q+EaM14+ig01ktgMj1042dQcvR7a520uOA1k2KMSc1ff5S5IM90xsskuk+NUX4xW9MfIsfBg
IuCf53nADRuVoegjgS0IocCNcCESMmjtnDXEAfCA6JAtrHOSOJboVVrt3jfSDd9+BcU422JQ5zaV
Fyh6orrbRGC0g5YtOPRBzV1yPPsmGKYVUV/BfzfE72QeujRTAJaCMnvMZl8UdLuVvgnDqege4rL1
7y9u42ZegP6Fxzi2rplAPSYBLxHeRQyxKPIraXR/7rz7OLx1MV5NAtdM2ejLurQQ2ouZb8o/Cy1Q
5igoDXNvzrwOmA1AZaFFWnq/FoUKJuQQ5MgMZd3sHKn2RFLu6fw1tWchry5U8v79kXIkIWRM1CEB
i1w5e/1nuQFaOGJ1jqyFzlS+TSgvR7o/5Bzr2Lj3r3AYUywlJVIbMCg6uXUZk3MqvdKe45I3HOUV
BHPtK7NiURTbOqcNVSjvDo7O03ncXAQYRpFghLtCF8C1p5RnRSd5hM1So+6jhWJ5X0bPecyJGTbX
sUJZ7GMVsPeSKehUBAq49WwFna9Fsbtv0rx1MB4/FiJLRudR51TZ77KC8i1yXUiT/lcg7CS1qhUK
wQFBBwAktVptP5gqPC+nOs3ZK5azx8zQ16cWWInYaZeol13M77n317GVXMaI4b+++l8WitX3qOuk
ajVwzGCkfj5T/QRNP2cowFk3KW5J81PWohgQDXiMi+CxM7wKgrtjJLlRn9vaIAbh8NImvDrB8omY
y/PqRzFOIkfLUGsJ2N2sezOLl2p6IOQI+uqenKXE6ztOk+GGs72CW77Dag/iUOzzWF5skg5BTy1b
oB+pHIQJp/LK+57MGe56y2xKaznDSfzY1dUxy1/vf04eAnNtFBWxzFEEwqB+C/NAbiWO3W8lXq/2
ivESOk1nDMFgr1JNfDXjGOLZ8wCWZWt6HHvBsxLTH2lht82zRZL/FpxxHhGZMTIwhDgQ4msW1naE
Q95dsvmx0Q9jbIGN5ZgLMgd10xiR9cLVj5oDRtquraOpTZ2oQgQJKnisMPeoGqPVxzFGUEd+15/F
9vf9b7hljX+V7JFnRv+TyuywOapNOVrA66z+T1YXryNyYZ2Uu6LC3VB546CtsZgNHVpwHlQJxQju
CU3YNUG/XPndOIcvb/Jz/bPgNLNtNC1hkhkKwtr/Lo1xzWaophAkB1z/U3yg78ZL8jD9riyoOoC3
XfFcbf+uPXEHE5YOQ9abrFBZHuLSkKFjnwIVr1Nv+IPWee2s7sHqEdkljx2M8/FYKT9TKgsxH4GF
Qqebg/J8zp0kfjZ5pIVbl9x6TcuHXbmsSIsxKBMDJ1OsvZ6qx2iABNHESxDxYBhH3ElRrWTtAqOJ
jjkcYmTXeFn7DfKDK6vQGPc7mZMxdQuIAOI7M6i/xa/5SXLzY/FNfYl1m3Lc8Oadt9485kSDzUbs
k+UjNfk7+Q7F368WvGOCR4PeQduo8Ls8yq9ofrSe0vf7Z5u3n4x/ht9Ma1oDWVF+Dua7rDR2Jb7d
x+Auj3Eg/ZRIgrjYhn5W0A74JdntkR603O0GLKn4Nh/Gx8TVSlsOTN5zm+NQNMah4NbWo7ECNuri
6JiSLioK8baOQXvifYpoKzA4MdJG+40OVnVZWyhw/5JTXZ+EcMqoVbYSZm1Lirf9JUsPSeyliovx
f5fGL1N1zsNd1wXV5ArVQ5wEnO1eXvLX7mX5AWjiRrc4CtPsiwaKssRKcxUja0NtJz26MEvNmUQb
3xYcWTEGgCPdm0MvKz0OsrHs5j1o5uQUJjEpGgZAz6kf0fLX1hkYhHbJsKfJWbAuWXGqq2+FEtTG
uwWxJ5naQuEp4m9J+q7jjaLZ4pg8WQtvCxE9pfXocDarcDf3iWOUr8iSyMK3rKhdq4ztBlSHbf01
RqLTthcCWmO13ClyhALlvlcxEIj0RXNq5gSFmi8T9KRCqzrj5EvyLgaNabbXqkMh5F417HMhCOO9
ns92iwZPM9CnoO5fkvEcKheN5JDkJW6W/yIQpspA44ioIkNf3PyYxpdcdnXZR8NhCRqA/BJn+3jy
xRbxav6eofs73MXGzrTei/JJaZERgEz09JRCy0ZKXLPeGdWL2fpZothlf9L0Q0ye9OIkgMDK+LBQ
8J9PSX0sFCjBJHujeM6SIG++h8Mr6ia59WL0u0K3jSlIlEuO8yP2IIiiPxvorbWXYfYh5uNRULJn
38TmszCog5KIjaAo0c+R6ajSWx6/CMV3ZWpcC8PpCFhanWC7QPBWqYdGcC36Uy40RyWf4vSQxReh
BLEuCilyjz5904f5OXHxFlbgK/bn9k8LpQbrJIYXpLH65s1Mfgw1hJiqUw8BgxYSwyDctEYn6X2i
eo3Y7IWuOrVkCjT5kiqDLRZmYCbf0C3kZ9TLLF7daaO6Bq4zdG1iek1EWYglFsk0EtZa1C3NOI60
N/a134I2hdrpqcEYri0+KmfjrfZgYS+Yzps4gdsWPGZIIexjSWjhRsPXtWuoUq3oahnw8Sl1ZWdw
IDV7qcF7aH+86Cfi5oefKBx9NB5vNGBjPhEp+hUyczD1YtKNGpfa3/ag0JMPlT1/kMrOELo6z4Zn
nCH5eJp20d5wSzcOhNEWXejdchzEhn+4+hnLdbSOEvqmaAm0Mx15oSIBdOjqAZzxAB6Gt9zGDeca
p8T+Zv26D3wbBV0vn7nm+jIxJ9FAvWwkbpR9lbLXlKXdKbz1Lb+f8X9X62NuOjHJhsrQUL/K7OxB
dZRj5CdYZ+X2AfQPj82uc3gppY1C1vXamBsui8As35rY0+y9sqN97lcqCB2Qf3S/t+eHNNCcgRM2
81bJRM2pUoOmfDFjwzooWhCOD4qwu//Btm7R1U5itJCxFNBL60kNjFgnP0RtN4v5vowbuxm+o+Lk
Wun4vR1kG6TmiQ1NCWeSIPtA+6ck4b0w/zLt/f8fFUW7659iWalcWktJHsHgkxVBIyzfx27yELo/
kmB052fcapBiy+3GN+0euputM7gHLbZf7u/JjRFDHwlCd+BKXoiMdbbpfBCiKRXlEGHUBMFJDBtW
cK6Ncea27t98XwD9pd1F4z5cOCsqaqVzWurQ8UDiDXR8em6XgqfI/v3V3H5hBoU5k3KvzOnYAKWm
tonBHsRndhEH+S58KfaKk492geIVj96XtzbmhOaYSjBIFQ+OUDy18Wup+YPk3F/Z8ieu7IVZGHMg
kbEUGrHDwoRYFPdpUmUfsqDosTcWU3E2ujj9I3TxyMljblkH+NFBNQOxb/RtMFaaxGiT6ed0QDkw
EEF2J2Lqoj7Kyrf7i7t9Mv9d3T84zENvVmXoYqDH27EQ17nS6OsBOcifguWQk/mSP5dH7ZzsNafh
dULePssWZHA9oddSWVi8mU9HjNkaLJqApHiPU7c3RPsDkwmeEjT72EOUxuPU5QIyH7IjVUfrDoD6
GZrfyAwHlqM9GV8DCKCjg/nATUfcJAaYFTKOVdCmfDAiAFYamGsKpwebi10jUvNzhytje1u4v0b7
m1lbXcZdnhb9JAJtdKWLGfQ/oYLagGHTWd5nc6BfGgRGUEH/Dmuadrx7a/Mg4i0AIQrI0otsqX6S
iiKX52xAYxVaWvvdsGSxNJ0Xcm0eCwX8zxicg14IW0TQW9MoLWwrgq0O+q4i9FyFU3Uof4SPhgfx
svkheyR+yxM837Yd0HagdLGEeuylgRmrjugmcFFY+qk+obHeD930h/yKeUKnunQ/OMdyOXY3TmeF
xxxLTZDTNooKEMXK6GRpWxv9pw4NGld0BxDm4PXH2dnb/oPFfFaITDBrdGGqZwJWaH4R6DshT+3n
vtCD1w7qUxAUuEwgWxL2MWiW/kDC4qs8CCce1f4Stt6sGmOi4MO0sNNsD2Cdlo1ZKIszSk+q9Mfk
iZhsL3IFwLgAdJYNGWnhy9tRR5d3YUMF1olF8znv0J7alRb6XVDKr1M7nlSkoCM7HFHkHqIdKWOI
8Gm2rIdQCqkuQznsE1OxpaF+MbUeqT6B8h4Yt2H+8k1WP5dxIH0CympRXm43fa9/LSK8he5HL+Xu
uQSPpvkz8+fBjQ/KYXQk3R2dyX35tztgrn+CxQRuiqCOdaphx0BlW4lfQvdkUkg8fUBojWOBmx9/
4Rlcshx4zDH3QdxrFY0b+K8Zta58Lh/GUQw4x2rTfWDsSDKhkbFQhFzHfmNu4Hm6eGTwNGkgqnvo
HnztqIBO5rO1yat2gAYBeiT92r8PzMNl3mtxWCcKbYFrUXmvlvMJVWqHFJMX8ai2tnfxnxUufnp1
C/TxpM0tAZJpfVD6rlLv/kqWE8IeUXS5oOUFzQMIWpm4xGjKiAykgkkSLWiQ9AgfoW445AE0hh8y
XrvH1mrWaIwbzPRyjpoUaJP10RF/ESy+vxweAGMQukG1UVoAdPNFlX5BOvT+398KHv+yl+P1g0Yd
gznBkjwpit7Xg9MbPxoNistBQ31Ms1iEE6Vuxt8rJJM5qMUI7l8jARJVxB7aeREyzkl8zsgvEiY+
kRU0l6atm/fWx0Bz0BXl7bvYY5pBM4uHMG04Fn/bsQvHAQYXKNIsWp9o6742xImoldLn+D3JH1CR
WG6LpqIGfKgPaFJCQqQVOa/YrSMGRkjME4LyGx00jPtQqaKaUdUMDglBNGGcSiXDdI1XNO79L3oT
6Cxqa9LykjKg6gSdnet19VkM+puqhPIw5HVmN6mecBvfh7hNLC0Y0GDVNQi/iuh3usYw2kooe7GB
Wv3XeIlxSwW971d2v0PPs+Vg9MoDLfAEBvXM5bXhb2PrJtjRIN8rg+77GtvU61GiZps6yS7u7PEl
B1dvBCn4BklIR0Duw/o96858Jv44282RG6Vv7u8/+CyNEgoLpaKOwEdu5QnD5TXmGU13dopg8Paz
M0Su5Lxw9vvmlC77vcJkvikd+7hDhw1E78Hju6d2coBOcWH/SJzqJ5rZIH7hgU3zozzzbtfbU7K8
fiD0aeIdZEDOmrHaUi465GcJskr0wwgdke6rfjdCBdEkdiE89l3igtM610W0gQf3V31zYBhoJhYq
21FqqQJo2Rj3o+QNku6N/fPM5bVeTvrVlcEAMRbVUlkK8xlAEIb6Vfvzt+yg7pUzpt80iO9QxF0c
p3vLrnGNyNpQ3DZqnIpABL+l+lXsRje+TGfy3O9SOzsjWELQnj+JPn1DZGscSs7O3lbIGHzGnvIY
GoNUB360Fy7WC3lP99U7ckwn83UiHvQuIVTrVK/ywyxwXMft6bmyJ4O5MKW0HcZWihIEUamtJx9R
XvqtwFnf8sHufFCDce11SIe4GbC8GTyleYcsnlw+NxYyPK34TkAKkS2ZrIEnCHKbq2C2dbnMV7HN
iHUlmO/HZw36kxjvkGJy6O/JslF4XMSNxoN8NH3LVV7vn5TNTV2aCUGHZokQ0LvGLYcmEWcVmxqm
UFGKg7p4DzXOnm6eRsRVuLgwLWGxbleuSC/0C0Zl6Xg9a9bvZJYurTCVO+gHcC7nzQX9A8aej95S
EpDSACxSfmsgZEfjCeF1ENx28ixfawXCHAIjQs+kjoFXRxVOoer2+ik2ei+HUkUtHxpMyZU/Uf67
/6U4u8iafxTP1iSFwEScnbt1Gp+1Hsw5iVUIHkZ7+387FrheImMYmRjmo1Gg0VpUnqLwsUJPDS8C
5n0qxuYjK45mg1B8KvOHqdoK6qIG4fjL7YMFoXRw3UkySEOXH7E6WBr609VBwzo06yxIoKc7F6rd
4vZXdmG61+irIRCHIOlA/Eq7qKmLrgm55dX2F4O4cSurX7F83NWvgMpWORkDfsVY70XFliFHINee
kXyPxguob+0B1aUIKu68cGvTaFa4xjVuhAYsqWyAO8Uvsu7IyW4uqatTjhfZPBCAAZmYvEg0simy
Zu5iLQ+BI6gQM1WxDkmvd2FYuBBtH+1oypxKlFyhUQ5RzUknL2bC7i2Y7EA2Bw1zBXIm12uslJgi
cC5gRmRCeafykpSXAVy26QZimZ+HyDLUp1h9rYqCqEeSsbykMg+qAR5YEZWTUfmCtO6e8O7428EL
uBdIbP4vHET2rlc0YpC5mGQ0/6dQzDB+l6PkEtTGm+cSAnR1XrtR4Wf5sEfA+O/7mDUws5XoLm4m
mQA4j6Hlpeh7QmvfkMPnnnAlPZfr+mZPMRKwtAeCUYcND9OuGSFnBCyzyYiNEgsE4Gc711J30vFy
K0dv+f91ozwkUrqD8bmzySEZ2d7o1W9g4sSqG9o8HfAbBCMOX2tDGI6ZngtuPBd4Z4ql5A4CmQMy
mtOhpHJ9ycY6aE1z4HXibG+GBk0lSdFBmcR4KSlKM+iZ4IeIeuyErdt3aMb4KbR+oqEBAakxCGth
k9BuMvI85JaLQA0NFIAmJv3AlnttbPJkWdmgV9gD+mUm6M/4ZUEfV3PuW9aWr0e+D8QxJuTjkC+4
RomFURGKsl7iDO3Q6cUu6pBEn37cR7nNFODk6CKIvBYWE0NkfYGRllQyY4RRcg8XO4bme25ALlJr
SxTwu1R+CxXFj9ssdEJz+DGWxbemMZ4qNbQcKVPewlZVON5p0zViyA8DlGAdQosT44L7VMDFVIMS
NcEgdqiEz9RA1nuuHGFooYtMn9Qu87Qx8whPRXszVl8IzVSQEUnAZz8tavy9IqSALh9rfQxorf5I
p8TO2udZal2JRL/NBM9C663HzHtffrYxbqGhlveNliBQk23d+rz/hZYTxZ56fBd0nEHyAKEg42Em
o6mqdoKzpmN8SPqnTJmCVFPsEKX5Iu/9MOEx027Z9xqReTaUvZVOEygZnTKeK1tBuNaI6SfVWkcT
Co7/3LLyNRZj5ZLQzqM8ACtBNG0N1DbK93LghDRbl9EaZLkPV7FErYH2RLIAMsE/xnFlUxII1iHE
Q55HZb/1GlpDMQZUpG0XFVEJrt1WRsenZ6W2Qb/ChLgy3nlQ/gaTNscnb0Oq6BsAuzvYSZZ/X60u
Hkqa9DpWJ4YVkGKnTuT9ZKEwpFsPod7YWnZJhJnT1/p36OTGLiHGCFnuJXZn01Jp2OmoS8E/qQH9
UJ3JxjP2VJwVO3WOgjc54d46jS4GVdzsXLqzHb5Celbdjwf6Gn6rfqmcb7wV0xiY4NRkXUbjvMYY
EkiitSmS4JSRLwJBqvlACTdm2zRW8B5aMkgcED8xjqnIs1mDchVc8pP6LPnFgXi9hUqL7GsB8RO3
HGyI7N4//lu2u3xUEPiDHBRkMNdftyiROyiaFgGGbkzlYzb1Q+Ym8JqaS9NycGLSas9NUxg80s+t
xUJDXAMq+ObBgXwNXJcZ7nq0LjvZdEkUv82h5sOLErc8jYlUrAlqdrS0svOyYjsOOdWGxOm678L8
QKI3ar3ppn9/CzdXAuEDfDIJOWHWg87GOKW4TnFATPrSdf17XEe2OczefZjN9J2Je3RRrJXB4ch4
6tYKQyKOGGlKrbMWeXpyHHJ0jwZ19yhqXiF5Ch5K+knqX+8Db65vhcv462iUumiI5sWHIj+bxHul
ei4ynlbF1j20Xh1jiDGhM8kG7GJkqKVTK8bvBXRnUTV35DI3fFp2klvlOYecYhtXw0sJ9IO4kxn3
pg15pTQtVjfTDP0E5rE3dHeaQW4H6bFcEnxd/3N/P7dcCTzI/yGqzGMibDPaK7kIV1IQMNw8WB2v
vr4Z4qwhGFPBC0+tdAIIE6W/ssPJ8iLySIaPUscw806GvBoUJu8va+ueQDOGBBnihWec3chQK7Vm
jjWYSV94pvY55AUIOQdX6dsHCmLMVs1O4jDt/ytUdjNV3O9J3wPVHC9zeYm7Rzl6r4XHRt2hQ6NS
OdaydRZWi2QLMpZidYmgAG6IX4r0GCkqmJQ5/mTLItcYzHkrQIesExkYaoKyGsSc1ciWhRSqAe7U
evN/kp9bwzEHb8rMZKpEwBnR9zQHR9fo1R3nK922tKgymEtwj8PsF1odBkRJSFs1CCScbkpTij76
nnxCTlf/SefE8q1Cyl/GwkwewI1dg2q0JsIly0Ud5ZCEDKeoStNji2k5nsDaxufEdY76P5ixNRGF
ketLyMwtWrZ4Xy8iCSHUoqDVZPY8Pc+t0wj2AFXEkxrhAybFr1FqEBkXSo9E4TBU2kkwK/mRZNox
HUHFjwJfMPXy4CKGO6M0NNlRXMzO/UOytUxQAWJMCNVRHe1vzA8wUEnPUjxmQ/PFVB8Lcydxm5Y2
rFZfYzAuR+nLObeQM3dasL0lyeypbWEPs+gaYe21VDjJrWFHPSagJCjqKpaTZL0t5pINZYfdlKfu
qMjoo/8ykBO8v/qNKODqlzHnyTQgxd4sidOaeJbyPnQ4QwfCq3BteHUYt6mrmDmHhA6bcNP7tEEa
Aa9Kuf6T1K9R/XZ/FVt/XwFt5kIRiBiA9Tx6gTe8buDvQwsUdKu5gwv/PsKmnYLPABNj+PnaTUhG
5ipsNYLHRaEfrXY3Np5ZOKnxqWJMBrzb44CUC6eQvpUfQL7pH8zFrFavizrSdKm3IB6ivFiSjWkO
W7LVT3RLPoBENn5vTparcnK/W6cB9AOQ+AP5BXZz+fcVZKpjClAtlueacEr1QMCjjauvu3EZ6muM
xSZXGLUkhiDyWpZVuZKIHJE7Z+eQvonQYpftjheC3vZjwr+i/oFuQQmB4Q03FMSqDKkZ8TzpnN4V
30Zq9zbKII4JmTF6Mi8iKvjCsQUHMa+pZXM3F7FdEAMvL0Qmjm+aiSzCEcgfSAc1OpTjl8mdcVzc
MPMWROP6PxiMkUCpUO1ygoeRGBg23RFP/gxPnW8Fka0/gyqNkyHaXpIOj4281dJVcv3xskqlUTRj
SaaEW+HnkJ2nlgOBbpytNeE9DeUhvBxwpq9BWujZTAkVYicVaPUm4n76AWG//l01s3LXlaH8lTa5
tQ9pLDwYedwe4kzKvBhKMruwEKM9iev2Ux1D8XsVF+FOlMjsx4KGuRw86JSg6Enoj0TuDqI+95A/
NPL5M5kwxqaTMYV5jKpY2kJlgnJrirtzS1PYSKOXDm06+dxMhnCpKzQk2qI5zUElVeS7HEvpWc+6
8iksm/GkxrR9TIW6Q1YqKi10MmTW6NMOBF1ElH+Yc9LFHmYJQ9mWcc2+dh2luBV6+qAZNTh9qUbj
+X9I+64lu3ElyC9iBEmABPlKd1x7L70wuqUrOtB7fv0mZ3dGp9GMg5D2YeJORN85RbhCoSor060I
UCBgZWCt5Szl3L50ZkZ3mLjxAVdKdNCMWvPRYRYvTt9bdB9X4JNDaapurhJC1i9D+91g2Yan131R
gEUoTtHfVo5BbRpNoBajjY5zwLH3KBWMBzPMk8hVl5g8R3yxjqMJ0U20DhYk8dHRPVfoeFPplV6h
+y4a7Sl1qlZtIVuNSQzGHK2YRrMo3yYN+NX90EO/o0fTjh2k5pDs8sU23/IuBuZAVZWnFFfc9yW0
wtu2GqmvaDHpITVFCXeSjs3UIzyigw8ctfZKFsiiT9Fknnjea+9ordX/R8tEvRsZT9FUpiV4U4Z6
zj2lKPlrnplo24/skv8sQmM6pkTJX1JtGA5loYFOaZzza/znPXr1rMLtOCPXoTJrKMCS+GBNenqt
J0btNeUCadEaZaFXu9bN+7GI7NSx+4ZAmphafAzCPIr4rq9i/VCCrfgevQJ1gD4TG901hMxHZSzG
72yIVZ8pDYpKllJGu1GjKqA0icHvQE/e3vCwTtE1a69hjj1Fj1GWFw9lsZill1ZxdejLuv4WUTNG
kV1rxnc6pErjcG1ejKMe8+4tzZgSpGgtOYa9Sp6KviLhgY5Zsu8zfbnXRlKgEXI2XCVU2L3B6vCA
LloDpXuKGr5f93WoOWaB4olL02wedrxtp3teDTMEGLkdXo2Gku/NUOn3YVIpIBKf6vKjAFDniWBe
YqeOG+Ux0oy28Ao28KcypdOjHnXad7uyUzfiNqiy0yotngoy1O8GR+bR0QtAyJ04i+vXcuT2fWiD
9sgpKkJ2vULzkzVOAGj0wxTwsh2f9HrWGydSmvLXNIyTrwHx8KSbCbS3uYWispPr5VT5aBGOH0kW
pld5YsSQBcb79UmfdSUow57EjlqqHOy34TS+kCYClzfPG9spRtM8jeAPu4lIhwNcqsaEUwTOrTiv
htM4Zuo3EFJDJzKrKT7dsMLcm4eS3eQNEl+Ohl12qMNEgeswm2zeJdB5OtJGye7mdOkhr0Dj+lCj
8SoojA55dWOBoFvbGdOVgtjrJ3C443MFbpZDbnEbgDYUC9B3GvtFNNexVzVl8x5ZYXwDb9h7SpPP
HyzXwc5KiYInZDHFaFeqAE9b5jk6JUOC1509m+EOoOr8cYK7DtS01deuBxodSruqA4tY2TWtyvRB
Ced4b8bEwHHIKhwkM+78iBQTGmqXISgXM/uGjlHFoXPc+/mcsf2osgEUi5ExeE0zQwJP0fS2Dhgo
GAM6M9BK0nr0k7SgfjlkxrirTLOxXSunBhQ8iNbazlgmdefpwJTGyFs0gK8YFZQ5nIGSwu9Z0hGX
RSzzTS3jYB8hSKUW7aQscGFGM7tLS5cKbGNt9is2C6iVTmXdvdSlHfozaapvjIbdfoh5FsyUt99I
pHT7GlTWbqP0nd+wpgLFDiY9LpTllWq9+mukmeUwlpX3gImxq6hDkyyzrOWgYSM+97kCRNrlkHIz
9F4TYyrub7yzxODAUNtwbnGT5rZf12i55s5cexZY3S7b2bqxDSi545kFsDWc2OfLdNRTvC0zRK4k
POrK/6D0YXFJGlxmYo3PzyI61ZjR+TXBRG892kPi9I2nzpKqo8zG+vczG2XWDOBsQWRqlb/qzM/K
26l6uDxT2yvye6a+BKZWj8sIw6jgKmrj1Sq/h8CuNrL07tZz5XxFhJVPND2OTAN2iv5okOd0+PNE
jHn++0JICEW+0Q4ppqrO/Trmbmu8aNbL5bmSLYcQB6aZTgZeYQxde0z718Z+zML7yyYk0/TPk+xs
xe2wYKbWwIRO32JeY1f9KZsbHgaQWzUY8hv4N7GmMKt9NqugxXFz7ZhMEDZIHDWUPeK24vNzI8Ji
DISPTO1gxLzP3+ub6GbZK67p9cE4oLOuelf3l2dt89V4blBYmYwDsrqS/aAzS8Pddrfs74YToFd3
ZPdse+qV7JGzFayDvXPtnIVODQhiPx9M1VL02u7gx+YceI/xzlLue+M6sm6BTr48tK8dw+tL7uxd
IGQrCOVTM2Z4FxgOIKxB89Ydbkc/slxzl96ZHoOqgjO+dUfTsXfVr8LFFfFMNWc/IrHiX/6WLTTG
p28Rhh0nypwRK0zdgTwsSaACDqKxb7r9uvbcYegKxIjngA7BZbtbhwIQZRvId1SHvjxmwTUfl9qK
GFTaXT3lDm8aySxvPs/PLAjOPOorPbJXuKDdz98r7Sd4wBxbDR2ToOKV/ACh6B3tZLrtm/kV6G9B
7gOICEMTS15t2pJWS/9ZWh3cm46BxMMecjkQQ7lNPi7PodSYcCbrlqX9pMBYZiG3lhyMIehx+C0j
SOL9lLyG9Gda/5IYXTen+FA/H6FwLssmRfI/h1FIApF98zM/Iq3s0h+qhw7mXfEsMbeO4as5PDYM
8DWjzidcMlSt6yhUVnDJfXNFPH74SNzounNY7iSufhcG7QFFCOsmupVVq7Y2EHBZ/1kWZtduljgK
1y3a8KA68F/RlfqjeUmljED/CH5eGqIwo4WdJWETwxBYfUH59RIsu8QBnb9DHfNnfm08xB947t2g
hdm8aZ4tyTnZzFIAwQOWM9AOA8wnZClaPOp0WmFBr8uH7ta6oxVIrWqEWS56tt30e3k3n/Cotr38
9W/W9syy4AcNOy7teN1K3ZtlOLcIi7Wd6RHmlD+s2JmDxkm89pR8pLuhAB+LxPrmRj6zLni+RCFK
gcA5dWt0wjvR/lZjDn8ZPTSi7pJA1oeydb0AYAGdWsSwK87i8/WStDFHqycWuQxvksQZzaCrdmN7
HcpKS1sRzbkhwe8NczPbwwrwVZqnvnkj0aFXJVtmy3mfm1g/4SyiSWts12R1rQs7TDmACxr5i5AG
ZXbUkwixIScvHInSRtZOX3GK9ngaZzQp+bYhSRGvUbB46s6KGSJAXmvzVtUGlAyUxboaLX7skszT
ysQlqUwAemvtz0MLYUlqPEPjIl5DC3VH0frbWA4175dsV9qeZFOvZZ4vozJA8AXYBRQ6RJ31lOeG
OeQwFd6nt0zzcf8MR6iT6D75GT5cNra101ae4v9nSwxsda0K6wJk6O6geRa9WWgwjH8TOzOCLD4K
CCs/0eed1kymzrUQYDroIRg2aDplShmbu+C3AZFrkRddaVrxWtIZnosxMONTGe5MIglmN2cKEGa0
ElIN/wgHhqlJUbf9WipguzEKlDpz0IR9eTW2RgJCFnS3AuUAInfBwZTVYqGTFtCROC6cHFgic3Y4
NPxS/7KdLYyKeW5I2M2qkjY071ZDbVddISGcHQskJH3Wte0da9B11gwQbBlMNBuqWuuZixFwMyFu
TxNZvLV1slCMw6sHCFSIzQl3F+/IUi46HgksC1QdjVjxQ6SeOnTeTZoErbbl9M5NCZdVUek1ggWY
Wpt2EnI/xjIo07YFE2B6BDqmJoY6hPOcpWuZpWt3VXlDBslh2twhKFD/+/tiQFNAMqaZ8Pt18TPt
Uy8qkOm0mU+SSuKGthrm/mG1AMGhCpCK2NGFjQjIBriaXWswPTTuIBpVAiPKnQr5ZtAyA2vNHD1K
/Cgrr9CUdDMjb7+0PbLaYIhA/zxZVCcZ7X2v3fShjaS1ZC5WxyH6yZV2498PFDZxN5T90q9z0Suv
lnkXm8c89mNQcXXHGjSBMoDl5tSfmRMcAOoFCHYSVLcy4D3apAPD5Ozq5T5Ccvfy8dxyNecDW7/k
7G4u7NRQ+IyBpehYIM+dcqOqEg+wuU8taEAhHEd5Vdyno1Ks8lDAE6b6VZxpqLlLwU3b8/XbhLBV
Z7OkKGBgvsBxXbtx7vY3RRD5oPP2zNv+oHjFr+Spf5TSgcqGJtw3w8JicBjCLjrYkpvuTlccFF6c
n+qV7iloFK5A8nV5vTY92O/JFPkwkoLbJdCZQPwlqsvbp5YFBX/j7ZWSy7rLNivI5pktwVuGY9hl
MegzwZC0XJET8ZBfv7Hdyk8OLVRcQZcGij8D4f/DIqmFSubVFpxnaJvNWOvYMnFS7cs0uTIp/4s7
9nxwwv3XEn2e0hATaZv9riQjKg+FwxmXbH7ZegmOox6yhmqg34A+iwJsi8OKwakzjw6PY8q9y3tj
+yz/dwpEorW5UvV5MDFrekc9s3zOzcwxLcm8/YOy/uoKf1sRPAY6b2mrot7jZi/2Fb2fPDsI0U49
futOYcCPw8PsyLbDtvf9bXKd5DMnFapawuwWaxVBmAj9NU17PY/XtYnEm+kV2s4mweWZ3DYIVD0C
I/Ciiy5L681kMniPF8vbCPXg7Cq7W44gQHq9bGY7NrIh5GuAWNf+0pJXpXM2Ugo7DBov+TGcbjm6
x3Tt1Rz3PWAa1KGaC6ScA3yRxJFsbpYVvo/CK7G+9FwW05KhOAnTcXss+thVUeWN051kgJvb/8yK
sFmGlGVGvFppfWCsHg1nCZJj9VpUfmS6zWk+1I/ps7Kq28ve67LxCXtmoMWsmOutY1u7lO2avEXL
6N+4qbPRCddOXSSLsRiwMeUR0PJw/r3kSG86wjMLwgUTjVWVKAosYBmdUAGHm6zp6yvJE7LLaEAC
HAVK6MD8rxN5drjy0NaXopuApHHHXfLAPSMAj9nefAlKZHSGa/MtCWJcalbQXj2DiGsveYhsdf9+
+gBhj0xGYgHdig+YvOvQs38kp+YA1THzkN4QR/FAGHks/cv7cvN8n41Z2BylAf6RMkcXQGGlTyli
ICfPx/YK8uHQkiIzypJ8fgBM4R3dCIfLpqXDFTYN0ZOpM2vYBmvygGZqz74Fx9kuuS9ejWsWu8qO
2o7mJwGT7KVNbwPpcORIVuUlSKR/Xuk6G9vUWlc6MaL73AIjj/00tjVK1tXV0DJwZKr3zfSxdC/o
YfWpItNGWhdSvDmYjg4PDQxbgJwKV+6o5KPeaBh5nmpZGqhsVvd0UIyfNq/ATWGV2vPlud7yAdjY
JvBv0ChD6/HnAU/JqHXxgAGDZlXLwNNe3C4gl7tsZMvFnRsRti9sT0lFYSQmPxIG3MaeIybqm6e2
f7lsaXP+zoYj7Nppqudo6PGSriaI5I1AdAAsBRp4l3TfLluSTZywRxEOmRx4Czwt7fcoAl/II5NK
XK/R45fdACoj9DxCuA7Zu8+LQwGkaJX12NfMW64oKIbzK+V/xnF86k/x7vJ41t/6astCfRCoA0R9
gi1dr2tQw6KjowjfGQiwGDBtFVBOECW334kS1NHHZYPbE/ifQbEHweI9OhlBFo9HG/HNCXBPE7zs
AFZdNrN9pMlvO0KIDpUHXZvr1c6xGdynNvX0n2D4HIDpjDpHS70/ZpLDbQE0878zSfXPq1aVhtbo
xboHs8AsfEq9gj8SKnFVW9feuRXBUxiFXuZ9DSukecuRzq8kyVzZ769/P7vzWGIuU5SrSM5MbtpF
zpjKwqvNHbeGdUDegtxJTBQOacsh2Kgh8GGPTTe76fTSqBSQKKC5DsmMcmki2QubfgiNbWjgBl0v
+ME+jynqSgb0Ayza2lUCWuciDYoILNa9hgxCcHnfbc7fmS1hF+gWVwyjwfzFYNpRUOInEle3Wc5f
W93/HY2wAwprLmgzwUKN1qv0WDWPZfTQgJix3vWAuSGLkB61KBgBzNPQwFTIgpJ1BF88BmqIOmj1
detLZB6OualBdhLp/liD7GLOhvmZJgpgc01qlSDSCwuUwKf6gTMzvwXXUla6K5LyWgObSeMAcSY7
eZsuBc3p6MtWITUgxmlMj8a6DQm+aHhMwTg/Hjvbv7ysMhPrBXR2LEhuz3XCKULBlN1kfQE5qPSm
aHLJTt08G2cjEe4xXC6DlSww0w68OxkMosyhoh3TaZW5NNKjZXNoGKfRidalLN+1GX4BUvffNApX
29hU2gwe4cx9gISLcav74TeINRR79UTuIRHl6w9wnnvZC3bzcJ5ZFS6gsesTY6jWIZOVSztosscy
3pWQZpW10m8ezd+W/km1nq1hmraDFTWwFEPqp6FQtZNRrUt2iehoGCkZa0pY4BRvqirQgZamuQRb
JxuG4GHsSauA/cUyDdoLgzTI9Hh5q28uiEUg5Q4SCnS2rIM8m6YiTYvJqFHOS5CeVw03B0cbv1bC
O7QeXba02eiG5xne2fBnaGsWhpJxLeXQjcWVac1OSE7D8IuH4Ka/URrudpDsInuWf5vD68q4QyOU
xPrWQFHoWPsWkEAxxdCnoFm8JCXqEOO9HdBd+bDsy8yhh86/AqMyEEXOVeP2ENqWABe37QIiYEE8
CMH3+vezCQ5NpUiVEDA2XIXvTYym2ek7WgJuJ+OJgID08ii3PAqYeMBYgaZriiT9Z2NlifyGtbZn
6FR1p+WUpx8TsRyjdOPiNGReKxOx2zQIrbxV8t3EbwsGlQohSoX0KKA05Wluv7UW0qDTTWyB2jeM
npZ89iLwIlwe5fqj4p2EoMFa6cfRqiRWuRnyNazQ0B+fUTTxZAd9OM2DLHDZNALiT8Cs0JxJRbI5
6Cv2KCoh19ZA9KgNwbocq7s2Mv3LY9kEkgFDYmM46A82RBhJM+qZmUFN3s0Tfg3h5mVG4r5pb4hp
+mjGCuI6vqNMe5hTKE/x98vWt7wLqJssvIGhm4ty4Of9YtpLYdb2+vYA7bYyXQ3lz8sGNmfRWjMM
OO9oIxUMZDqtJ5UgfGDhslsxr5WiBhEge5fNbL0IrTMzwoWtEm6BhgFRks5AvqGjjSwP+vSR/gXn
lHluRzjMWqmNAzjoES8jhk2Av8sA6tTAziLDOm6eq7MBCbdzYoVmXy2Yt1JXwXnzDnAR5Y8dve2Z
V5TJvrX+AjmCEA/XgLUqoYiwjmrsbbWp4R6j7Dgvb6q515q/wCWDhRhgd9CWGND0/rzZFJIiU60g
B2qnKWQ1QUGIu1lWAtva0edGhEvGzJaUxgWM5KZ1p5r9vV08XN5rMgvk8zAIKfJyzuF9apA2a1Cb
55Kl2HzMArUBOV6KNCRAtZ8tZOqcRGODU9lar2oJEoTTrD8q/XMa30OVN75WrpEFX2Rv6K0zdGZV
fKnFiLW5seZvxmxBN/RL1zCnsjyIuF2ev3Xrit773I6wDaJGHacCgnSuVpvFLtHn+2F6bRb7zlx+
5CAqgfjQx2WLW07o3KK4J4qMlFmJw5RB3dJsc5f0D1ntXzYimz5hW+R6q0dNiGEN9m7JYmcxnZo5
JJa82GVm1t15Fk6UrB3JxGCmwouTT7OTmx/duK9kNN6bINnzSRM8N501znTAEVwDOf1ofl9CLNh1
WD00EMSNsgpa6zoiub8Ac6DcBFEdVIPAAybCye00QqvSeh3yQT12BbsZ+qfLC7V1vNaKlm3jn9Xd
CU48NMpxQtckTLD6pl7TAtXiJHHv5ClB+3iNdNiRkcIbjbcpetOrvyCxA5YEchJosQb3jsifZw69
lic6LhEV1fKx3KXob1C/G4nknG3s+k9mhDsRFY6IZgxmug6te91029H6V1fIlMU3jvMnM8Jsdv1S
D8lKEsPb9JqCKI+h2/V+YvZ1U0KiA+mBy8u3cTMyvPuBnwCl0FcURQrN0zptcdWnZv1C9dKP+19x
CFax8RFbCp1gHzbUvS/b3BzjmU3hNlaoMhp1p68uy2uWxya7dxwCGdK0k4ClNtcM7wTEteB9Bx/I
59NdtU0eJauhcS53vRUHw5If6yWSvElkZoTxkKmJ2KjCzNTtavMubQMe7y9P2fqlgpdnqgVpDwBO
cZhFJFMX1lWRoeXRHUZ0oSS+3SBrhdbq3OlkxdXN0YD8AUSNCM5Q4vg8abYKZYd+NTXFo9ebezJB
tVyWL9k2Ylj4NaiigKD3s5E2J2huNSxkncAvAW7GGVQTRiS5+bf2maYCvYtQHNMmcq5E0aQrUa8A
0Z5quzBGZSOlIJ6ns2cPEBHlExKnSSlZqa2RaeBGsPCSgk8Sn3DpaOJhXEUg3e8s1bWbvPaYPYxB
QhbJ8DbuLnDS/rYkeKRlYSbaSTG82KagXqJXEME4REXs4aY5XN5+W4PSgbRCyyPqKl8ewiCyDLmd
IQlcTaY/quAKT01/bmzJbby1y3UT71DsdROvOOHSr1lv8zJBCsjOCieZdxSzaJ1M5sxpcHlAW3N3
bkm492MlX0BdhQEVSgDeRsdkH4PtD+TxspmN4Jadm1nn9Sy80BRdjTBcmDGWWzbau7KsJA58eyQM
z3YcJcgMCSeJ55yhJIqMVl78msF9Zb+y3h+Nv9kAYOr914rg4pJMI3W8Zon76q7soc3sT9Pu8lxt
9aMxEJUiswPeJiy+MFnVNOSZutJ65Wjl4z+rq+RhPj4pLj9NeyNoTsmBHVHPvQU5/w3Qy6f7lWpE
1g2ytdPPP0I4VEme2/24fkQ330zGi9InrtpKlkxmQ1iyZhob3LiwYdGARm+jBpZsGaBvy/ehIG8z
ULmDBVZMXU1cz8AljTsJzBcfVR5fDSQ/ZSQNOOeuUVuOpUFK5/IKbsUSa6PEmp0DA5EYiRloyhq7
CONKhgpcNDcpro06L522iVyz8sHeMcpyV1se49yksFxDpfOoUuEx6pzdABHn6mP+Y6g0yDJbwcBy
iXOXjVBYOdoAGR2amNW5rEq3o9N7WCntgQ/tWzmo31Q7Kv0wsW9y4JElk7tVukKHgAp2yZXDBf/z
2ZekQ5zW1YzZBYQsIElyALe2qw2FP7Buj8sG2cjUA7HSwzCQAPhR34reVSW647HEF3z1OKB+MSDn
ACUfRFZivnDk4HFIIJ/m8t4GxcAhqb6n1pvJgsu7aXsH/95NgstR0E888QrjXZg27dQK+UJQfA5e
zpT3qQy/qaV2HRuyisrXwaFKg66iFboGKheRLCdacn2ulPUKGk94rZEpc5bEbcJflwe3laeEHZNp
5trCBDzg59WkYP2YwLQFZ6eb12pmujM3PQhA7WolPeXZt86C9DtIO4xo3kdG/+Oy+c1js+YPkbgG
RR4hn62bwzA0oHjCm6n80WU5TkoS6NGASOIdjXCSnbs5pWfGhLuWGGoSgmobuTCwyVfmS7ZkB7uN
AkP5m8cMfu6/YQmTaoC2IjUbDGuOwT6kWidWMITjbN9P5W3aqV4Td461SHtRZCNc/352zRf4JBDD
w26cVntQCbupASE+0FCAgPp6mmcX+PS7CN2Deqruw757zCvzliVj5ygd39VZ72iQTfiLJf7tLkSW
OFDP8Gbs1+ODggGPAzvyTOqBds2ZPy5b2jyoZ5aE0Y+sAatijNHT6TslTs73HMUvgETCtVd0kGzd
zcvzzJrggssZ9GBkHReU0Rx1fguRntYi2Z6VWRGcTzxmhmLwdScZaADxQZPiIAiWLNHmbXI2lPXv
Z9uGdEYfa6tHX/rujdjdVdyb3hC+oK/Rp2biJ/F7geaYy6slGZkpPO+gwWaG6JZcc+66B+lsaDAk
u0rpJDHOVuQL0Tq8gsB9D/EfwQzjbWXYEPp0Iwbx6tTcg1Np9zcj+W1C/zx9aOxJpkiBX2mH6Jiy
GGj++CVcFomZzcN9NhLBV5akK61uxkjoHB2atrrWhgetsIDxkcoArz8lvvIRrYEkFJ2GAJUJk0bt
rlVIbCP4BL36NDmL8cDBek5eGH2blqAPbw0ouFNQXfR+K+vY3SooA6v727ownzHC8pY2GKiORFpJ
7834GFvuWJ0gV8P7D5AG4RRAIXDQAREc/cuLuelEzowLs9yyse6bNSFQJuCZTt0Fgt1J70X5c2E7
VMbis5WO/TRW4U6KoriKczxp3Xi5MQa/AubfGHZL0iB8eyDKA9e9SSYDvLmRViz0eiDIF95Oxeaj
apewWYXxoWgGCJm1fmEpux5DvDybm/f7SssMDiqK1KywkYbZyOdQR2rAiAdAEjVf6emO4yGz0DfE
ln8cEII5H9GMrTIVjJ5izXUuI2ootMS7grDWaTL+s6vtwdUjM3EW3Xi+PLbNhDPCT3QQgosBgrrC
VolK22pVA+YAfKQQa62uurYuPaOLpgNobc1db5IfXVK3zmT1pUcmiA5W4fII2VWZvNnXeUYovNL0
I4hCrVl0pmPZkB6IQu5Sa/T1iYOfIPPiljqcfIsm6l4e+VfX/dmacECXQR/StIG1bgE/ua77nN3V
0x8nM1cjYN0HJGDNCq8fcXYp6XE2RcxO0Lqajz/GyZzuLDY8l2lXSpI9G6PBZkGl3iRoVDHE+qVB
lXhCGMxdW/negnSsT3xTRhHw9YYlK4wCRMgqoA2WmGbU+mnk6DXDMTc/eHhYOKR0Dg0DTUl2KsvX
6eWPF2jF/UBzBRkXZByFC13tVKThohkio7OvWHvDelz+HCVFzk2IOKxKHw2VVTDR1Nc8+lZDKL4I
/nQUOkNUAmQRxRH7otej5x2ZELBzN+X2kfbQuqjZNZdmKDZ8MGrX61St+KFV3vbzTuvSaIAqx4Ay
QPJgFe/VcF9C6mgeXCAv48JvFWUt+V0e21cfDJtIbqNfgYA+XgRQKJYeJ2UIm2nuau1jYjUQWDqU
o4yJW2Zn/fvZKWJ6n0YgBEX8yNyuf5yLgC23DX39/xvN6p7OrFTpCLlDC6MxwPETW2i41x6pCmzL
02U7G0cVswafuzL+Qi1E8Lh1EkMCs1tHwx/H4b5Qb2uZruKGJ/1kQriQY6NabHs1MbGPiB20xotK
AJJ+LbI63tfAFOdThagF+uIAwBUBZB2IIpV5bd6YqvuosR9Uq5dUnTYtWHhaI1OO20mExhEtjcMk
REmtb9wufaVEgmHc2luQojOhqIkkBYonn1e9j6u5nf4pn7HnlgQkLJ0svC3Qzn151WV2hDeQPhWA
u45IXpu5F3HuRAxEtijnUsl4tuYLxWOUb5H5BRm4EKz0HV4jlYnccmPf6uX/+KhL7s1/Msef42pk
BZCYBJsBmIWAy/k8Y6bCKnUa8JqrrtATdfiuRw7zaj/83u5mP3dU5+VaP5LA8NFxujivObodhmPk
IVfgIBsCnPZ76EdAikCvand5jjdoj/BpWMRVtWytsAjXbYP+yGIu8Bzrjcpppye1D50YrFJoY3Ga
8tq2f1Ezve9IH2TpvTq0e1RPn3qdeKrWgGC5hPuqZY/fjbOI3B7kZXDVgCZEPO5Nz8MWDJt4Ipr8
FC79qUm0HamNYMaxnBcZp9+WOcjQ4lSiwIAdLUxBWUIvYGTYZ027VN9mFoI7NF8sprsl5y130lmj
IEvra2NfKDm6VikdmLNMbDxG0Jf17X7hlgOikbKAuqe1kiynQ/scIjd8Z5QDNbzLa7bhDXEFQyod
ME2k18WyIrhrl44oI3eTZT/TVzW9amSgqE0TcB+mCjIMACaFIx4PutYsDLf8MD2imDdnV4inL49i
6/pFy81vG8Lxng0QbYNTHfFX87Z8p1hdoHWN/+nJ936451HjGH0usbk9LALXa6PTh4ibva66npZI
TLlGc4iiXwmEssn75WF9fUdi00IK9F8TwsUbaqqVY9FB0xn6o7LPfrWGlxY3i+3r7V8EsOemhEWy
54jHtIcpG6LUkbYfk++o8l0ezsbZ+DQcYZGyfh5bTYWNOpmdhDuUvcxW7tjaici85Ia7/2RKCMc0
VjehVsHUWP7QlCNvf1WTO0a7ywP6uu0sOOI16NNQIYJ3EcwkatwqPeQg8fLmE4bUQY0L8ghWkvwv
iwHZZXHl4eIrfIRPkVezsfl1+Qu+bEJ8AH4AjargP8d1sP79LGgq50mveIcP0OohcvB/RslmHj9C
pZVJ6H3Zi/9YQiUTyCi8xEUWxjXHnwIl1Lg2DV8LPgyuDXZyv0PicjIAlgdC1GkMNkv805c9I5gV
9kyK0lRINJitATkE63vCPJpxJy5CJ/pjAk3BlrCaRdOgs0bBZCYtaOsKLGi1/5vl+m8Svzx4GhTY
UthxE+sGZNrOOJ4aGaLxy9b/PArxKWr1qr2EHWYsAqFLowC9pjulGt129SDxGet8fIpEVkuAbCAI
0fT1xhc2nz5nvKcYTQaEOOsnFO9wXdkvC5ndNsnu8qZy5raWIEVkVgWnqJpJbIS0xY5IjyPUFyrz
Cj0qzqy500pyVAVxlweXl21zE54NdP372SlT45GpKIuCBX/QvarUwBnbP2ZF7amGgu4UWRy1uYJn
5oQ9n/Tgs7ZsmOPGDKHPgznc1+3sEtnFvGlHx9Kh5wbde1QYFnBkhTbPCOxNuzzFIXONIfeVCoQo
hazFZnMGz0wJQwLLij0YQwc/1YJP4N2c9kk2ocZSuI0py/1u28KrGLgbBMriU7zXrbHKCxwAg/SW
M5fvLOZHZJhiDzm2fUOlzUtrTP/lHKzP8P9r8B9NzrPtYTClLwYVfgMtRge1okczaU9tpB6K/q2L
61t0kjioKV3VuYpjwg+XN+fmFbAWCsHpiNSQ6JjriZchR74ZiiiVl9aQoF0+QiOU+OHNvXJmRVjA
EiIKfZfCihonntIPBzVOgx6iu9woJQd881YFnwcAQGgGYF/yGhaY1psohy2l8/WBQ1cTcEru6RH0
DqhjRRD8IA6V8V1sziM471DIxkX+5S7Xe7PO+TjCr8yQgDHHytFI6plKJ8lJbvqv33ZELP0cK2OY
K0PjlpntcvIdcrRjAdViULCgI9lofhg29S9vkXVxvmzQM5PCo3Sy9MJQCExyLJgde7ivh9xt6++p
VjiqKVk/mTUxs2tV6Ly2MJF0dPTwMVIeTPs6po9Ig0Wy57ZsMoXH8GgWJi1U2DKH2l8UD7mpbkEw
8lIM6FvSvAzv3ctzKbO4JgDODnsGmRNA/mBRA46vg85Fakf+iBx2hJONYuQzT6ZbNOj8vGx2/dlL
SyjctVqhJYNVwmwErEpecy8Gs/FlE1+5zNb7HKEkmIspkBwikEIvAOZmyYzoRLmKh5emfuvaE4FQ
lL6HgkhT7HMaLAt3wvTeUqEhhTZC48T6A4HwaJT86fNK+Bhhnhvotwwzx4AH8yHvZ7/KTsjoSYxs
zurZiIVZ5QTouLHGiLPsSJrJr+fOuzypm34THfJr6Qo8pWIXHcNS8W5Y4Mswhdrws6XhSnFm1bJ6
66b7OjO0fsj5vqQkrNIahsaqc8oB4jrkRTMlvuurESgwoQUDHZ1Q1FDF2LLhms4BAIYjQRJDgXRT
2dMAzMJ/vCyfzQgeRGFJRDKCtQdX4oCqogrtlqSTUcF9XZrPVgTfoYDYoBs6DMZadC9PXxroe9Xh
x2h8/9MtsNpBkh6NoogSxLaV/8PZd+3KjQPbfpEABUqiXhU67d45+0WwvcfKgRIVv/4s+d4z7mbr
NOGBB37wAF1iKharaq1Fx9pMcwuxD+HWFlLIu8axIcU18O1g6bJMyKV7grEFxozNpmFnC65ep9lc
oxIFuDK2QTw9G6lHbT9e9FDTAG8PnFqJ27g8Q+cWhcUqYsPKolzFfWbNd3bbuNyJHq/P4Oq2W7ov
/l9KzRH2dm+PQHBOGJRi5D/KciDvGbHDbZhBQ+q6pcvYEQVtAG8AsADwFWjE81OU18o8ahNB01NW
QUNr13PjjrS6yz6RZr1u6pJlAahv6Bks7aUAVV5gHru20jNaWAgbJ0/72KjPo6s/Vl59g965zGX+
8BF53Q9NhuX7nbI/v0rO7QoLpuFpRifLbDzbfaGH/Dg/tMF8328eNcik227nltsO/2xHruO+mMHo
9e/tVgmobwaQJN2lb5pnuarveNWx8nkwvBtf12dGX77g2hcKJ5NWVQOpsuUL7+Nt/FK/20HsUd8J
8AU3dTAgmT0fqKs/gfYs3hqulPDtMoQ5n6Jlz58401kFtXQ34gOgztg075r1oqV7UjxMBm4KyeZe
CXfPjQmXUKLqUaXMMKbnvkZuDTOIIBemouW32YT1cxMGcy1xSavb/GTrCQdqGvq0TBJsvaXWZnTo
bLAhjF65fbizZTfg2lwalqai5obzC7HX87kEZCDsK8XGkarcUTFc4OvcqQd9XtT7XXMj63m/bEbF
sTq1J2zvMoEQegr2Da/MXjmaF9S7ov6G15/nVLfKhE6kDe28VsYSv+Z3kQsEzgMvB5CFC45jrEcl
zvIQO2a8h7KikjhuHgUapPkydFGqr1TWp7LmE8nSn4LMI6q/YnneScCcNUE1wOPZZmi+2dXbGErO
4WUTFabyxIaYrmKmXuu8UXBzNc3zXM5+133vs+QbgfZrM2kPWk1uajP3VToAKxYF2fwO+IbEJV+2
yAhfIWygNE9ifAZGOgy1V5s/WFg+FmO10YAfTPS3eYjwlDkqSrJt+g6llPxv09aCfWFDZZVmFk6J
WbCAqmGgRJvJ+6wdzfTBHiVkmWu76HTCBcdXlX3N7BZDVZHtbGpIaNi+0X0Z7QbBdtbu7P6/OJ9T
i4Knq0wjtdsZFrPpJWXbsfCiqnBRY/R5/9raUQAR40b9+0zr+cYSXN4IrhMyL1ZH+7UClSORxVyy
iRQcHC00s21rGGjLOXYjkPAoYEFvywTQkSowjPCtVEp3Ls2n61fXmrM7nU7BDShtWNfUduAGDAgV
jc8kg6wOt706/idN98nfZ2WWeUSOxEYXHrRmhP0yc8BdcxVbMyp+DbxHMsYtISrz1xyRv0/AHzPC
JtFZ2Gv2cgL4nO7CdrolnASqziSvi7WA/HQ0wq4wEx6prQEzavtUDsulZGzK2rPRcHt9lf4Pl/Jn
QML2MFg4pZECS01ce2POAzN5t2Zft7dQsoK2wvKEN7059g1T1s24ej8tMF4KNlkNrMKCO6Njq1Uz
iVpvyM3hnyIj43ZhptiXtQ1Rq64I+yelJu07lHOZ3zdddSBmPQRNWsjUmNaiAKLpwJRqBJwb6rKZ
T6IcI7e6xG7i1it64sfpSw1yB7wSCAnsRFIq+F0LEEO6U1vLgT2xFY5mn2QtRm03nQ+aSdiEsTl9
ZYCLNM5nYUw+hnnDzWzLdOvTht6oih7PfhyOav9LocUG23+fqz8dLfYAj94ao7JNk/CJNSnUKaC4
7siAorL5EU6XEtcZmr7xzYr6z1juh2ZTKzcVkriq7C0gsyQcMAfSeWlcwBJ1Iq+yg7J+qdSPiMVB
BV6c65t/1TWerLpwyiIksAiEiZGHzze8AXeIBxAxmJlrtzATT+neteTtusXVCPd08YXjhuhFsWcL
x820t6m5V7oAaHwltbywgWrFozMhv9S5EqPL6lzbcYIrdqC623Ebc2rUj3aH3WTe5O17PmtBC1LE
suFut6QMHyfqNs4BgnwS+6sBGih1TRSHgS8TsdPMmEK75UnrmdoRF543WJ0LpaI5vcMxr5tvNGqB
eX/SRs8aXgbnYKkAu8qUZPX1nfXnK4SpJ9nU1YOOr7Dv761PgHe2jZ/u0disusTjiN7cwVf3lfez
dmP3F8qF6ibzlU0eOP78eX1GVu/GkwkRFkRjc9/A47TeqIB0Xx++IYkBvbty8juV7U3S+mNnynok
V9+S5MSq4OTyKHLiVoPVxrfdchPH7j/fnLvEDb9iPCPR/I8JgHaIC1gnUFx7ZTfKHtyyjSC4vkQv
siqHUomXNS6Ax94Q+1UtU+0xlij0crv/u9COgKiskABPcxNWwERWBN1Oh+Cdtf8Bnfofpmt8TV4U
1O+h4lI/2ZeHPuAuGiI+jaefmpdsqj06JfzMlx9Cyf4T81Fdyw3aL58VjRrY85vaMjdhFmteFTXj
q9JT7UkDmcHg2UPMD22XAMibFkn3D9FSAmnScHJ+gA0mvelbzblVeUG5G5UOmR7nMeSfVZ+xo9a3
IeBpttk+oUW720xxCkCJPmSOXzl42fJkVCAXWddO58YxC6MAYtrsEKUm34G01LipoHzuqkzRHke1
s56RfUiQrLVtsgvjmr4X7RAesiaaIhfNtZ2PI4WMtzHMd6Xt5NtUGZ1tW7ZVwBQFsGDalccCQD0f
yWW0mBUNf82raTiElhN7o84qZNAdWt7mlDj3FWC436FuR2+Lbq47qHVTPfXVqretTWiS8mDEY7Yx
Q1v1S/ScuhD9IUjxtsZnwrPuocLWLnyIw9eoQ8+lP/MiflHS3nIBbKUPPO8nEA2Rpmtda561Ha+p
CeQen6yfKibwJmZRyZEh7NTIG5xaNVzmxOMOXYfhHqI3NphrU+j3dI7TvNG5n15Avcce6DjG960K
OjD062p7huRnkA+9+ithOhqfq0b97Lnu7Psyxi+GtCk29WQziHNPGt83KEYdooyoj2o4RIaP6hR9
7dWe38ZssmqfMbX8CmdI14ex1YUL6MrYabSo0dwY5Q05dGiis1w95k65QSqLdG4ThmaBYlPWjS7K
Qfrk0lQHL97YRo8k1CGpXtV5eNc6lv6Ah3psuBajxTe7icIWLJMR+Fpau1HQeMdsZ6eSkjyoYcYP
cWEot47Fc+7VKvjeGyucflmtRbxqTku+ve4gf6fPr51h4aVJZmQKMxWHRb9NnhALfkv9h+wQ+j9B
ILHV76t94r8PN/Z+2sQuRGQl1hcPcc26EO4UcVs5/eIp6fZHh6TaLn4Gn8n8WLr65xzQIH0E6NM+
2vfhnb34TRnKfzUwcYAhhvIyirBi+WnKcaxJlGH0vCIun9itRWYahN3wvUjpz6zpjnaJRTOraX99
6Osx+UIJjSMHUhDxrk6YYRf1CJb4XGs3oQFmx4o637OYkU1j9LgZLAVBp4K0rJqzxFU0JJKqqpQk
Gpa7+GIBTr5CuKtt3lRURd3LQ03qLlTGLVH2c7GFgLp/fbyrTvnEkHAT92hdVVBca72OdUj3dlnv
1ml4NFXls0uo20v541YjQLQGQ9Ee7KPoAhUePUqeOeZIQFPJhxsDN85E/cZ+1uCbeYSnjd+Pt6mM
PX9tlKAmWPhyEO7iiYzpPnlyED7pXb5QY6rNj9LGPW++W43p0u7dlHXSrI8PmThLNyjYMsWHeBRD
yLttMKOW+hKNQNrfmABLK51P0axmk03C/ESTCU2vBRZgMdcA8TfQJSEWK3onieqely2cUYkG1/Qm
5klQ43l+fbesmgH8FYIUv5FAgl+IuqlgfYhAupp3Tea4lnKr81/XbSwPHHHrmyc2hAcQ3r5QetRh
I7JrttEa3u9ZFoXBdStrB+zUyjLSkx0RTpPRMQ1W+gHgz4y5A+Amg+43YyR5ZK1vCANJGZTMUfoT
kWeJVdaposCUOTTBPCDMxh1C2eyxttqDMMxyS+TZ4ob6pDZkrnxtxYDhQ6v1QiKnicAgvI4j9GFz
kMKiEQIw0ES1XCPqJVmUNX+NE/3vEAV3NWtO1rEBD8lMOeKw+aBy/QBy4TVV8m9aiEOeE7fmsgrd
+swSaymYAauI/X++iGaG1wIgrq1XN7vQcDNt24O0Wfdm3bPm0WUadKxlbOxrE4r+GYiNgrIEtTrB
YZJuUoAfwVAd48nEfikmaJ5LLqFVG2hYswAkxB9R+WUs2OxUNcaVW9EN07d6X+/q+p/rJ2D1poOu
579WhIOWctrkfICVBJhTbYpxjWVPDKJaLaEeRNh6r2gaSK8N/tCYL05TKv/h7jn9gGUaTs9gDeBp
VSDK4Nn0YY1Iv83JT8WodyoEThsuewCvHvmT8Qqb1Cy0fuhDjLeMt7x/S8Z3nrz1neQorLTOIHEJ
XD3Q0A7KT7awKcMiLrSqQ+wyd9nXrNIvMK8Epp25Rhsde/KzZxDeBheT2xnJgeiFS4sscaFgO7iO
FaduPX7VVLtNIGNNuCyuWHt4n3wcFZ6GpW3xJAox5cPssuRmptsOslVm66UqxE9kvCXr+xjIUcAW
bAo05PkC68D9h9EyFdCncOtS8xul2pOylCSLV73Pgh79/2aEjTwSbYBCFcyk/Tuv77s59SeyoTkF
nRH4GZA1lhGoywYm7NyJayGLe1hUi9njNMpdiqbjio9MEonLDAl7NoqtmmjtMoP2a2bejVAoqUE/
et0TrM4fmiuXdn70/oqkzsTO6mQR7Ib2Lh4/2fuQ3kVT6rfhd6AUcUG5LZ5i102unkWw+1MNMGnk
m4WALK+7zgr1Cr7H3FBGIdUOGa/bqdM21+2szh+6YU1Q/EE3SaQLyxD4zSD1xd2LrumZ7GPk/MCc
GFy3shpenlgRVqmgC4HWjAlkZn0sgT3aRFz5tDmdXV3vHqsIrILXLV6yZqEOc3qvCyZH7mSDVfV4
oSk/eecy+xijeEZD5ikayk2Gi5jaanw1DfT4W8RGkPvbkubOtTU8/QThJhyNOM/TGJ9gs8JXY3OT
kaeJjA9N93h9sBfTix4mwExwG4KfC5K4yyKf3hNzH4I9Ebi9CbRgbpipPlpzDjSpjqPCv8qk++uI
7bdBbJql+xeYHmF3AqtjjxFdGEOUBl64Vf3B6I5QWfXtefIb5oBFq4DO+LCFcogMNrj8+Fn8uxgH
SJFQYHjQfCwYh9AkgEQzOC7G3vGbQd0pqrOxVejlmOZG6YzXORnAfQHRHP2lryNJ2XnxlRfW0Z64
fAHo+EUgRwl4wAyNQ0Cvox9DjMaaVtadeLFtMD60KgChZ+N9BA9wvpp5H43M6EOwBIYBifdMuxnL
oCs/ru+Zy9hQMCMkUCBTq6AaimlU32o9iF6NH+rn5IOUjETutL1u7MLLCLaEe24sY42bEWz19h4P
CDdh9w6VnfjlR8SVwcMLrx+0vqEjVzgFbTMnc9OCgLU0xw3QNrWLfLbm2VybtvAGmVuaQ+bnVYam
+JSPdxBzQCYUV+OhLbrHns+T7IuWKRS+COkB6L2ik9G0LmQh5nTAC7gD0nJiWQDaNVRpNTfs+hub
oZ6jNzvbqe+AGdpOZngb29FjzP62eWmZeBNUkMAH4G8Rsmok4UAg8wHWCP0X+ELdgt6FqvLQOQMY
SUfJnXUZMP+2hqBu4fPBk0NYZqNvQV69cPnUGl4bUBI8OqGBfjRWsc8+sdIN2ATueTTbd7qh3qZU
sf10ziQH9Pc6C7O+PLXwANfgn6DEcH5+QpPGYx/GIDKprQEPyb4wVGSlCvKiOKnuIxXcoF1vzMr4
BkoNOGRJmiF5h7bxeW/bafMyGlk3u1yxyXfaI+maKcaMG4QU2UFlUxmjdwe/5Lbcal8qJ9H8OqyR
Nm1LPgXRbBWvusWBcOWV9qJyovxiZcu2Tqrob2YYsl3Op8JPYzIf44QUYBoNQ7RdIM3+0CHP/9fv
W5R6UbJeZgJ0K0gpnc+GmthqP2kJjp4++4BToKnrWzjLxOIuD/i5FSHCDJ2yMOscVhLjJk6fO3Qk
ZJN33Ylc+kXYwD0H9R8K9h8RglU3RRXODmwwdG7MEJAFvQ9Y52NQmV03dHmdnhta3ggn12nmlDxE
cz8uGB26YcrPiN06RjA3LpP19lwElkvKARQ4hq1rSOSKgHsl7HIUXeCyQDVnlvd94nP7ua/ucFSy
yrcLyTvg4nGD87lEsaB3AQ8GWoSFgY1oj9P7MkevOARbdfuhNH9yULZmWuN21NiMMtmaVY8Akh9j
QfgvjcKCRRRXyNDZeD4DleDQRwAkyu69tF/i/nvnPCYgosN908paBC53I8aJnYIn1dI1IhILDLk+
mXYOxjLUyXajFiJCye6thkimc3101HGQOgLZ80WmNoUiQDMs/FdVOEDC5kc7gaj/ZnZcpDUpCXT7
0EMmupbF7Je7BsNzkMYEYg80qeJzhBJuhxbAEp7FX+fueaxRnjtyxc2UV7XZaTLilMsOIGwbNMCq
yNgSaBeKTNNd1dUFRDlAdsVfi94fDU/N/DAJeOba6YeRA2ez06w7Wm+vn8O1UOvUrnAOUz0ulYFi
nLTl28Qed8MkU6e6POoYGiAAmEygeC7YChs+cD0vsYJQgq/bPRt2EysWGSI06EsekWub8tSUEG9l
VYQUADgvPBpxwOutHTVzVy3yzfVJk41I8PdRCvnWJoaZUENKcXwYsw+nqLxw+oqlHRNr/gTSBMj1
OXAoqEWd+5OFxbItB46bFpJzzpOTOq5jPjbhcweIgyUjsNTX9oMFT4JXKti9LNGZaExBashYAjzI
wnDNdepnfcbKBQp7bMM3CLMr5LaLvk+VV9CdAQqI+i4GfERLt7S/UclXozC3qJ/zeVdaflIWT38/
9affJ+xXi7VGZkYIPNAJn6puP20a+9Fof/BEEuJcFj9xIuFOIXOO+glcnPBEMBraarGJmWhwQ5XJ
Np/A9uyyGICS7JFZkx9ryPbyMsgrePb8W426fejl7KdpHLLxraSja42eaj3Kk/nL/hKjr9NPE7Z5
pwOMMC6TwIqbSS0w+QEKByhbGc5LWmws1K+yXaX4eVT45X8gSUPmGeYhv4Ckt/g4YwwMTCiz52hH
VNE1AYl7NACokoO85n5PjSxxyml40NZOCX1W3C7aJ+euybd2sTHil8HcFeG9LkviX4Y9WOuTMQlX
KGOTGSVgD/AsE/gkyyXG3QjRT0f27FxzHCD3QWrWQnSFWsz5sJC2x5ar4G2NrIdg676Zn2I8W4j2
PZehyVb8Bq7L37JEEMu4KPhAVxhtKwSmkvTZihqo4aJ7u7qPNDczAPWVhHMr63VmTVivIdWjXFn4
BrN0P7MKEt0xiB6Ia+luQb4ZEP2FYvN1T7Di689MCmuWQse5NHuY1BsjUHnnD9WtKtsYKwt2ZkRw
N/OQpmGzsEJGQ+Gy/IA4GNPqUvQJyrqN9dUVw3lCTQq8Y2igPt8cRZmSnEzLHObPybgfkjteGmij
8c0oIOVLkhIvBmCz/EqsYzjvbKPxB4JCmroASEBZz6NNEwKy0wUQakQXMZqL+g0iioy4VXw/OH9/
CaIy9OdzhamBf+xKPcHvN2jDcNCupjVbm/0YFBrYX9eX+rKcAbmcU1vL9jtxBw2F5N+8RCkh+1GZ
fqu8J+Bmc7ibxXt1CppkUxtHRwv06oFbh2IqPaY/OeZHXsTbWnYFXcJQzr4GpbHzr2nVPBxUFV/j
YJpBXRzdmgDKZ6rb9nurjNxw+OiacWuaD2XhD+N/oD/EZPzL7SkWHBXkBFpU55bJeBidF31GA1V1
GGPJBbh6vv6YEcE2yhwqTpvATNl+JM3gR/WuZKXkEK/5jdPsjeA3aogQQPsY2RuD7vvpH6t/0Q3Q
Oh5Y9KOim0TdSjbS4mCFmxN6angMguOPIrQXIrfemeNx0Ey8lZrEQxNunrzaVZCHh5HMQIK9G0ip
cIQ4kmH+XpMLuxCBRcIRVWKUic+3jF0oUxNWFqDybvvWfS8C44fhx18VWufcZN9kbvSF0uc7v6U3
k8T2yjpC8Qc6NegGgaLw7zjn5OxkDWehDVrWhVGNUr/g234Mrk/ryiqiZ1oD4kO1oWSvCsezLux6
ZImC65MlqEQBHLRFSxso6Vwz8eGLUhm97cp9fWrwd971ZEyWXjZaPYbYNiR18xQQqGQ/d8fUkOTB
1+buZGC/H6cndnoV8q+kcPCeUCJ0JSKZNAK08x8W6NSILuyNujPLEp7biyE/5oSe4bwPjaRMsnKP
QbAXlMMLHSx2gnC3ZJYyF0aG/QeuwGNbdZ7BgFIYkqBaFBP7VDJvK1fZmTnhbkgUPCEUFXsu178y
NKgluubmSsDogWIuZTqMMmvC9mvMDmXZEtZ0y2/S7xBzcUmzGzPf1B+z7tf1vb5yTSNztbAhgZkF
F7WY+rTN3GHoEsu8GxBebvtN/lJtp0OzbwO6dzzlNfHIfXSEHNqd8g0EuEG9TY8+HI7bBpF//Vsu
t+f5pwjTrKqhVXa2AoXaluGxceCkRxuP5J6/PGswAp4AJATR2nWBDzLnApWgEePVQRdJOp8BDFzY
T7ayvz6YSycCOwvLDsTkUEcXw590jiq1TmBH035ldoA01sze9TJ1e+uxsAcvNiUX3GWL+pK2PbEo
TB/e1akWhrBo3H9LPOOjDZ6Bidt2wctPx50/kqefRRskHtqzEjQOucRPjrWbH6rnaDMHRoDU3lZW
YLk8p+efJGzlXB0qbSqWyQ4DEJz0zqHln47plzIU9Epp6tQSGokEr+Oo9VAu23hGhxGSvGGYbGwe
RrdgGUo3iVOYiJya6ovEVvQUazTeWp2TvVxf80vOgbMlgJrF+VeokxYNg4WvGLwGrwbA6p2A/8hV
92Hya3AOJDg2N8rOlhyc1Wkm0I2hCxIDXGPnZsPGaYxCRfaZs9sWKiC5/kjtz9H0WSPxhKu7+sTS
crpObpDCTNWmXPLc2QDqRUC3QLSiQn2iIrt4eO/JI+ESaNvqeT2xKLh6SkLo4RqwaNjbaghm3UY5
4j6s/0MlCjvoT9VDpGImY1yO01KPUG0vsQArAn4IpI/IBTTdr5A8qcnL6NxBqub6nllfuz/FFmHj
hpGaRla5jE/zQaLuNsqD5QSlE6iDJPe86l7/DFAsgmtRAwHmCpYUEqB9dpgftOnj+mDWj+GJDeHy
1xSlBhgshs7KotBdBQWS2XxuAydMIJrx2qeuMu17mWLyysgssLEggY8EF/Jbwh5JY3Rf0ixBbJ8e
be0hNz+Kv484kD08MSE41wRti+kwIUeVlQ9cf2j6V1YBb3GvdxI3vpKyPLck+MyRoesGJUI8RD+y
78RrSjd3+zfgRzbR0bhz2eARN/5+QMxz3x6M1P31S/2WS/Ifv1tYzwP8JVmKAiDuSRC2iYXxCewt
dOxQBNY0EFi4ZEsP6neWu9lbtc1vytibD+Ovsd3okuBx5TSc2RX8C+uQpLR72KXhQ64+p8yj1CNw
6Om0+/utemZK2DTghaZ2bWGeaf6LKx/WP/EAGMvktt2txt609DYKZXitFV92ZlLYRLlCSElTjA7p
pEH7mNVt4xxLWa1n+ZVraydsoH7K2nmiGJijfU39d0PxQ+eJxU95sgt1iU9ZHREFOyn4rZccqvAA
VbuhjYcBmUaCREGPqhzaIKP8aMg6QFdP+Ikdcn7vZEOvGxmHnWi+100/rF96Wayy/IQ4bdjw8CBL
ntwUA7aS07jSQ0hZoIcOjK6/DFmmed0AVaHNrKIBSnxWGhTZAXuGpGakGaCD0Z9nKbfjqgmwjC+V
KTR2iU1WAP6ZAwa9eKmvqn6yIA11/dSsrfdCY/6/BgT/HnNNH+eyACt38aiimK5n93b+FMvCubXl
PjUjbKsmZT1uKowjbvdz+WYzNw0l53/N05yaEHZUHLURoH8YCa3elOQTzM5UQQJuytxcxs66uipg
5qEU7Vm6Jrbs0owMWquivmYm6OSvvbaQtbTKLAiDyRCsVNVSVea4EpAHqk1JFLa6ICdDWP7/SdzX
8Bo5PAdtAEr8mpAXYxq9dJCsyKoNKAktimZI+omlwSicS5aNKMFX472i+LQ6GsWv69t3JXxdZLb/
NbFs75Nh5E3UZqSGiXq649TtHJ+gn6u+Zcquq5kPvKnkvKz5Yp2i4xC1C+iHiPcouhs0lOWRdYyn
DbNaX6/w5Jp8xTrCPzMpe+bqpj4xJ4yPm04MdXmYo81x0HaJ/WYb/tTswO54fSLX1+rPuITLc+gp
65MZhrrxm5VuGejsiWTLrY4FRaxFl2ypFAvXGGVOAZEZJOSN+mWoX5N4TyK04j2nqSTikhiyhQic
dUNXFAyOX512ffGCqDWvvR59WdbfIr3QuqP/GZGImIt0isZCNLx5Vvyu5KD8bJLAkTWer3poB5oJ
0F+Hao2441QoWaTQVMYWB4kvpLIAgVI7yERKIsRVj3NiRthpGk9TLY5gRlcfFeWDyXAsay+JRWwW
S0zRuYLA/vyoVqmVluHSKMDmAsjv+IammW8k+g549ht1uBvLEr0keslAydNKkKIrJRFkCUx0t9tL
DAzRqXPjaWkkNuUzXNGddlNskfL1VcVF4Ra0KC4I41J3lJj8XX8Qw49Tk4snOXFN8BQd2IZgUt+W
++TppdyDwEJ7dzzm17+QPdjGd9qj9s3wFCA+XOXr+nle2zVgdTMcExpo+E+YbW4UjjGXOGwjva+A
qTTT3aCg52t/3cya20AfxhI/IDMLNPD5IGPeG3NLcQIqbauH//TT/QSs83UbKy1WC4jsXyOmcJ6B
Huug8A0jXe2hhcYH+D+0P4m9dUwPPINz+ZSCUCCXHO61A3FqVUj9RJOBou1itS1vEuCsavJ+fVyr
S2TjIOBsA1Ui5icaHbjhucaB4CD46DwCBM4WJCg685idWdwzoUxQ+Ndtrt2XBjonNXTOQ7dQjFxG
YwbxIPD5XshJOblQLkxB81UrzLMTTrfmoIOwv62TW4WHyO1Nhba9/gGrG+bPoImwliggtxldBs2q
74W9Z/Sz6zbXTax7mhMbwsoxANhYPcOGZu3BZeICmYfmk4ecP8xIEbehXylg4wquW127dACEh2we
7oSlRH5+EvJcoUaXwyhBKJUbAcOhC53cVfI3vZQEVqs7Z6kQIsOPLL+6TPKJa1ELo+sdp0PJrEl8
ECuAAJMzN851xIlSRpjVFTsxtnzMibG5KvNwZJCGUeuHifh8eM2oZMVW584BN+NC+YzSheBFFMDB
8zIfsGCshCK24tr0Ox7W6MGDullsSvzJ6hn4Y01kfmEW4+iBwYCmBCTr9HNuPiJnfixK9UYtKWIF
oASIrMnw8gbC9b1Q5UI7Cr1rpimMsUoBrkdUUnnltBnJPRDOPehVwPHj9WBJ6G7hyzr6izaNC7lV
XzNlL4qLZVzsQ7aCLuVdTXcE+6FSQraK92iL0w9D8pOwxziS3DmXTaJnNi5y9pNthqbVwEbrkEeA
utyiI96o/kxNaFil+s5Iym88mj7TTnH1TtvXmUx5+iI8F75AOPogluJWTvEFS5Olg9aGtr2rY35j
8dE3EZ1PiVT/fblJz+55mNQsEDVgalcADyxfkAIaqTylRuP/VgGA/aObF6IUdRr4U2z29SNTFbPY
6GYNXpnQtKPoqEUk29l11RubLifqIXXoIHt0X9xg+LIl4kIyZ2lsFYEf1thXY2WQEiR15laZ6aZO
/jpqXExYAGEBrLHS/dlbRTbZuPIBlY32TKee3reSK+vC2S0mQAlgIVu0xL9CJKN2E3NmlKC9uih2
OotcZTw2iQ5dhr+nO8C1qEEpFm1pePxezFeV5hl0i8GSmkJyDgJUlXMwq8dIdlWsjQjpHLAcIG5C
N4JwVQBzS1r0YmBdCvVGU3+qjO3aUYXYnalIbqXVI4loGwEU+puXPotz760DKU5iO1u6Ye/C4XU0
Z1eNd1qeeUV1r1SvVnfTmYeif40tyXNv7SieWhbi377UmyRu8gqvsFub3WrlXtcUzzTu7PhVmyU3
4mWMiF2y0DfgeWEA/CiKMackjopJrUAHjgYCUulPU//i9HUQRdWmTrnLjeFWVbMjVeih1cLP65f/
2ljBJ+Lo0ExEb/LvVTi5I0GcZ3ZsLCsPdeO3yYxdvTI2Tkq9uFE/sFlveEQkx2J9xBSnT7fQqQKx
3POVVcbJiMMIIx4z82XU1YMyaf6ocZTyrOhoaYM7Zc5BrQ3PDL8K8h/AtXB7mGt0a6BMaYsXihHG
mt1znJaqPdLa5e2eDgD3AsSORBJ1AupsnXCTG5AKgO4FsCyyJV9CRdHxogV86QLHq1gXX9+Nk4Rt
p8IxDOleK0BYZgKGqvyK4RssZZdPexLejoP39ysNNRYDACS0XCPaO591iMSDZXK5YAD4S48ZbwrI
ufH6FrmN57lL7uw0BOWzwyX9MWsuwwFyAJrJ6L+8EJLQjKbME/A8eYQhC9BBPsya7pNxcFUtklQA
LoIxRAcLCQtaD0yozIpkKGFNGtWuAKXtzZ9O220BX/R51boOb/Y2iuDX5/MyWF/MoSAFWT4YRb37
fEIhN9p12YJOQOjzPILCjuqFV6lZoFEGxPtD76he34WbSJMp06zM6ZllYSmVykrZoMByGz4MYerx
skG0Hm0AEZGdVf1yq8IULi8C9oBFiPZ8kMoEpjKngH/gs3EgSeri5j/GSuQbdRNkBQEiId5U9Gm2
4pt5sLatKiMLWx3s0tq9ADUWuPb5F5QzqObiEoOdlW/cvG0VYJL4EwQu/v58oHPcQoYPzTiQShNG
2tEibHEmEeZq3aGhfQBXjbY77adS8p1SjHs8JraSLbS6Y9G6iDctYIGqmFkitW2XVIHNLNmb1S4x
D1q0bfIdUaGFsotnv7DfTeVYOhs9fVXw7OXDzrTvO1mKa+UWACkwSO3hkBe4rxBid4YzxsqE70gh
nZZtifFim7e0Cb0svnFyc3N92Ksr+seamBXpx4klKYP/L6ve4+o7a2N/HIH3kbm8tenVKQK838RZ
SGmdb50QSLqh62ZQoKig9VMSL3W6p1Krb2Ijexqd5vH6uNZCFjwFQXiBfB3Q76Jfb9VRTSBQX6EX
cIK0au3W7QYkRi6pb8vCg4ZmmDyF5VtCEw8tHNeNk5WDemp7OcgnF3nWD5raQLsNSODIm8P0qMUy
1sKVhxiqBwCWW6ghELS8npvo27qOaUhBwIxOdPo/nF3Zjtw4kPwiARIpUdKrjjq6qu/T/SK03W7d
962v31Bjd6xiaYuwBzPAAAaclRSZTGZGRkStrckjssBwf9mTFfILEBPgcp65iyB/yHcntVbVOtBM
IbxVZr4N/UAFEX+KmU/DN51OG5IthsHAIsdgHGC2egRUNfBHJIa+9izhstl3eToKIuHKXpqZTPAf
YOmI9lwYAppaTUcdj6U8rltm4xHkHY0gBhOnSRLk9npF44MmeZGIS2U+e1yygI4DUjQQeclM5nsC
LIxZm6O8AOUtl1Q3PSsdMjEAEws7MT7SGvT9og+wEvRPTHIfOmwzs+8GmNSNwSmLZ7OSbXlIXVWK
7zAcgaEHyN8isxmshMjbxDTt3iOCts75lBiuV23+V5klbwEtP91t6YgkLWpxmCoaWl2CYhg0tEvt
s6PNQZVT24tx4akfZshQO6q2aguhNiXbheldZbBdrDWWB27XiIUHz2DbgEjWUAgLvGunToPaiUrx
xEOJhNsVXd1G/mji1GWdgWzuqo3fIs9Cp8ur/edILfZq+KbUgL6D+ZlgWjKKKhAyi0a+1w4mjuM8
TItKjcZfXTgAGJGfkPiEVGrsUFWGXaWlmU3rSvA0WreEd6YBvDPegNzOUACHTdq5ZBCpZGcowa7u
EpcluuBiXLshdIw+z8B3cEvxEWCQqQRG3bSwjQCVwRoSop9hnm9UEdvbasQGgAjFT4yVgxKF22TZ
GGpRE5WFnZeeR9wglNONJlcNEjcJGDFj1F+VVlF2KSYxj7VeK0eDVcpBzQqoDoJ8T3CDrPiNp66C
eQL0M/HPHIQWQRxvsa6KJhB1JeH4FiboyUnVdSPJe6MWDcytpq8YYsN9j5reTPFxaiuXCmCtPDQm
6srqwqOXf7bSF2lcXX3TyBblTDSHLwf288bSXL5bmJzdX7gXRi3YjmOYhAyWU72iIPLwE9yMeNta
7QGjoNbdVfAb/B627qSCcLKysiemuZUdg6Kqzagr7Cj7UcpAzyfQtbntaSN4FaxcEyd25kxr4aKX
enJet7AjkQQUQpIdm4MtDfUe4uEWlQLBkq4lbssV5RK3nmJuIuyxoknzNlWDNRWPffggS07uATkk
GkzDXAN+PncZoUaBJAfD9FA042/BKUojPaNI3VBZ01swCA5Dta1LNNJcRAZ2VTWkpK5v6uZmTJvq
RS4qcidp5kivGj0F2rsvlGHDYorBnBb1N3+jTuN4T8YcUFc6UZrcIciWWyCoVX0XevHwEStDDgzs
6FM3mHxEe9/w40Ndmk3vkCpQQWzBujxwB02qrhIZHZJwPp00I55kp62sfJqNXO9I3cejI6emFDpd
EGW6XQ+ecaNJZaRZimIUd9RX5aeSKMmbJqeGDKYtY8LjEezXsq2GikesIG+ifZv2FM+h0YwdRQ8q
/Aajvel0j2pQoJL8D6UKCwfF9OqRlhTQZLQAe7eNGvkdvU6ENFUOGdTUUpC/bbSgJFd+nw+p1RRz
hxkE5FoAWncp3RcILxA4VRLVAYpO3pklAQC4SVoyYXZ8QIMmGrISEVgeu6s+DkzIO/iR8ZkrGEYZ
W938iv1C2afUDEG+Jo+OmYBl+wp6JeDmaMYO65ZjkS2/jsAGV+ptC2KEhnl2K6vp77IY22sGnsra
VuLIazeh1wag364i7Ss1veZDCZvRsKGZUf0CUjJ7zMN88iytBN9vY0jmV6JheR/0XPdvKmXA+Kg/
Jjm1ehDHqM1Uul2FgVbcabg6e8y+d5lHBjsomn3atNHV1PfZHvVTspebwfgohwKcLCQL0nxT1dhh
UjXQ7ErTRppeZ1puuAQalb5TJW12oHnnXcukkKrdmCm6D1VhWQLpOvYuNKJJ/kaq0QPRmAn8rl2N
UwkBPl0z8/tiiIIDq0aq2ujClZOVDWWJzn6X1xDHiwN/EwV9fSNpk/KoVkMIjsWym8BGTnOi3BVa
lxVu2yutjx5kRY9DT2qX4m31szNHUOgwlmnoxRKWCl6uq7cYauXgzZ2j+RlPSVU12D1pgVtZnpmZ
tkF5TfofcXhD0RCKdjT/qiZnpEcGxrrLIX3NNB7LKB0aJq5R8Fedxru8a8yyjpEANaF2rLvuRvM/
Y7BeanGxJTAHAbpNTvpDidneGkCTRhVN0ayEQBDrYNoA0E8wBPHtqUySpzRAimy3kmIRe6sd217F
qZTtIMw2l91die4UaEmGFIuA45qvXCpSotVKI6Fy2VqM3RQps8N6N3pPHhWp4q65hZrZzBA7N2f5
YlYx9gibJdj+vVpFlbRU8ytFHtrEAtYJDPiIIq0z+UoMbauW9b3gu65clyeJCHeNJRJArhJDIlIO
5c4oNQiB4xNjJNend5eXdMVPEHarJir8GMyGfMrpBqLDaFbGCAarqMtcDzxMDpHyR2no3UhPXQOz
bcMgGnJcydpPbHJ5iA7CxqCLYDNpeyurKBL2x8tereTJoCxDRo5nAdrqPGLMK8xQrccarR8N/D0Z
0OpDBXkEAT/a6tr9scI/DbMgarupb0Hd35q4VKWXMIbgScZsSU82uq9uO1/a/rVjGBgHbhGHDdz9
/Odq6FiH0OHDNQY+h1pukWh4+yRU/j5dA58U+EqhUI3qDV92bNCBMIoA4huR0riVtgPhGDKqJwyr
XXZn7ZWJOTU8m3DEkLjx0WMELzEt/LCALFLfv5VDrKMGP0Iuzm66BMoLGKHCrwiieJws1qses0Yk
Ie9e13YldB/9+Jj5in4I6s7cBT4LXM8r/EMQ9pKrqEmHWmXNYs+Jmz6/GxJmlBapOgylXHZjrUaw
2G584SlvwLU8xWALAJyPJXeG90WGfQix1+QuSB9Z9/uyudXosNh3c5a4SHKjJiQY8YK5wLs2hh0A
y1P1ooqGT1dP6cIKPbUSaihx03l3VzrKaX2EKk8ciOaQ155B2GeorRBAOBCA5l+x8MXswkyT2wp6
kwzl1WACGAXEM9N7QDNLCd77dBZrTVVFkLivBIgTs1zYi+ssJVUEs63Wu0UKGPO4TVqBkbUVlCGw
AQFvGQRf/BOvSWg9djJetx0aez4NbmNfNCMkMsGFUiWvcFf6MJGmMc6GF9yTRiQpt7JWCDQKuugg
a5pbdqefqILqTJfUQKsbcvGQ1dKH7yWb1CsEj++1Q7Q0w+3qNkwq1hgwMyNWk9u8SZFBXIMVKjFd
2r2mTBBKV5IJuAWXQJI6U+RwWyAt0W5JNZTxmhE6UXlzG80KRoN6BQlUsOeJZMpWzRn4O8EvOsMR
OHPRxErWKniZemhPKVPiaiVzSAHSJRpcF6KZ47WrCaCd/6xx+6LshkGKRlirpNupry1CPuv4utE2
AVraEIG6HJDWPp3CgBECJMHUzxil1DgkU9BPsMZ+q7pr6tuh/0qiJ7P3nLL9HACtv2xwbTE1tKRQ
DMdMNWr6p1tSpQMajX5cgh1mcLXcA09Cog5WG0f2GOij3bL252WLa4cAWB0TQCAgPChPDpUGQ27m
eoGmde5bysBufV/bQvkq+AfP8PCZOfqQujCejdkYRz3EWctATuJ20wEStWAbdYMKzx4RsmxtEReV
bT5Joh5Kv1OCJFOv3nJZtvLweWSYGPF2o6jBdV56AuAd7cP/A+rx6mRVZpRqMgGoN93Kge0/ZKjf
ISu7Md3pJrTDvf9kbqHDDTEEB3f4Tb4XjSudBUruB3DRJfFLifgKfkAK/rd59qITje+uUKGc+shd
mLokp9IQAR44bJSN9hg8BYHTOeoVyimHMrKmwNavbP8HcB0WqKc3l/fn2cf89g/BHs+iuT3EnYg0
BXE9smqgSKMvOknW1FuoiJjZsybihBVZ4lYS/BdDUM+wzlYG9zHkzkybhvddB4KUH//iE47cDCiY
R+VOT3kDkjrasAF4PFAQ6c1NVdqd8QSWyg6n4rKps+ON5fvmqNQpimsQFz81xaBuFtJ03p9a58ZQ
gS1bjLSRl8tWzp/rnBkuLIeBFOWkghlp513nH+ilDw8qGvnH3tEg9mYB8XLZ4vwXnhQMvw2CVxDv
5m+q2FO/cnTUIdo0YuBM/4jo14CuXund1kyAMlnbE3MC/80WDSAct/vauu39KsCX8qVj6+9lcpP0
B5Lft0zw5PrucJw5tLDE7T451fI2aOY9oRTbqTIPUQO2LJpR9AGL1lE6CNHn5ZagPDjU9Wehvf3D
gsJDGRTRAMXxfDNtZUxTY84LWkFRRFIdv3QbAI79r8t2Vjfkws58wS/yYkOSElAAyVhR4xBpBzXa
SCJ85Dfl5fla/vGFO1+pMiI1QCpiy/fsXtkHnUXu698YSWx27LHRHenZ863JDh2M4LmX3TvLGOZ9
+cc9yqH544EVqJ1jGYfuFRUIqxx20YCmPf0aQddBxhuZ7i5bXD0J4HUHNgDigwq/RXVjJL3iYUFT
UH9Ah5cpX8Ho+ERUOFo9CuAeMEB1h64pD3pIx7AlEZrkdgwRr+ijCJ+k3q2LW0003L3q0DxJOBfE
UHnjzlzS+jWkLwhOQiLtWfVlmN0vMwG0oSoFp1tkiTtzVeKFo1fBUk/uTQNtwFda6zZoLAWbYvUG
VRcucTcoxhWBYfMUuFQa11OXW5RVdpdFz+j+P1RxewxlyBgFT6SA2lZwh5qCJYWT2xs/VNQ2R0Ci
Jhbaehnt1S7Y/8P+Wfy2OcFYHMg2Qb6ulvhtSunUpluo13KA+auHy1bO8vb5XDDgJjA3gW4yP7bt
l2ZPlA40bsbwnrRfXWdDsFwur8bC7j8vm1pldlja4j5rkOIexAAY5pTc7A2zZrdgVYTiieM3DtIx
iJvYwLblP0X6H2uZmDpjXUEaB+i7zn1kdYyU3ojnAzLc5spt3YjGNFa368IA96ViKhVjXMJAyRIn
osexcZKSbjoRSn41RC/szH++2BE6ybuUtbCjhe9hOlkapvLin5c/0mo0WdiYfV3YkFQJfZvZxtim
VhS/DYVvx9Blj9oHQ8Tos7pu4DxXv1FoIMY6tdX7HYblRtiqIFENU5hDkDGEISgtru7whRXuYguq
ugcjAiJ/gCPLIrcBXiN3WxlVs41qPF1evtVrZmGMu+GgYttTZdbQCOVrD/SdNRhEN6byFPhou+/K
8Mdlc4IV5JF1GZ4ARBu/k4O3Nt8OGNWkT77sXLayfm8jLZ5FQYAk5h9uajHSKaDzvZ0e9E33Jru+
JUeQ17XGu8yq77Qte2ydD2jzCrLJ1R3/xzBf8FaKPG6zHIZrydhOSuyUrLn2Gl0QalcjxMIMd7Np
IegxvAhmAijVhQFkcV8FK3iGAJ/D7MICF/pKStNYbWFhIl8qEIJltevNF1V9IOVrAEo/SbkyctHt
tnqWF0a5wDcEnczUGEa1ArcZxpWRjTtxGFh4/DhU/2yh1hVkDy3DC8T8MYSBLbWvuZw9ddD1KCOA
qdT++fJCrG7YxU/iQqUENWoNw0eJjXYMZuceiwK8ug+VqGux9kHBug6CRkCWZtmn08iSFk3a5Ziv
shvihCOUD6dJsDNXX1YLE2dHTwt9I8c0oO3fxO4AEU7L24TP07bdxJ+olKMwdHnlhAa5TcpyH8CE
mZsxOrZf2d676jCrYaHNNH3JFgG2ZnPZ4NqnWjrIbVnTj1mVhgbWsHsdZGfQ7xX9TfvrxiMOxtIK
t0e9CNuBlvBqTH4P0KfyY6sZ3hvz67Iza4EEpDQzylSDBAYfwVif1xHorZCMY34YDw5N3Ux/L7w3
+/LHCB+tDFLIAdAhyAPQ/E79R7N0zOjeqKw6OtR55BQQV7vs1trdtrTI7QmZ+CbkQ2CRlRvVt1uC
M06sMTv2n3Em4pIRrKHObQjDbDvgq2FMyp/i1hm6Zyq4ztZIDFFiRW8fHwljMjzcqGkktRpb4GK0
qn7SIVGwG0ay0cvpzcyV2Ip7o98OdTU6od+RK4Mlb31eYgo9cs3wl4Z5Ki3tN3SYGkEOsRZJwZ+B
OheTEcb5fptJWjWQc5SgjE7CyG0IgSYPExgfEbMakbj12jIvbXHLXPm5LKWAWdpF2VsgSrOn6pcq
IuRbO9xLI9yxQ0rkG2MLIxmEYntfcfKku0ml2Jr+iXvqW1l31i4BtHf2d5FRIu0zgtofcPUpjjbE
VpB9XD4Eqx9nlu79XwOzrwsDcgSYuJ7CgK+A+BKs17QNLa97yVVXyUQI0rWbBXphumHowGgAiHJq
rDXUUQ4HdWYKei/6X2W/uezM2tdf/v2cM2XQqrrvUbxIUb71ae0E+lMziBBEa0u2tDL/+WLJMoxg
eilI8u082nfa1pNdVekAL8cL9/Ef/IGiEtBOuI3BHnFqKenT3DBmum6A9u2y3lAMSBFdEDdWP8of
I98936U7mteRWoYRD7Tqhr4F2EMQaNfOiw56U0qwlUHNwrmRVaCTHSJcU7TcTRCLzoAVe4j+haZt
YeVczldDx4DAD+JvUuVrgNLa5a9xPmqBKwrYNuhY4M0PYmnOj7bVEF9GWGDgl8jUPWoLrMV43hYq
nIa3L6pXnNC42QIiAZpAR8Mr8/IvWF/I/34A4+pwUE6PKmDa5nJqYFeG5bHnvH4bRCMNq8foj5/8
kK0vh0qu1PBTUTC5gLsheTRFqcvqIULnDDOWwFNi2vF0a3sjrUkXoUCTkRetetTCvZzt89qNRLXL
tVseQIX/DPExgeSjHwUoh6GKSPrrvn8epZ3avFXpThURdpD5euFrtEtjXGhQc7OtAD1F2tda00Z/
NK3QGiMLfbq7o/X6OtmWe3RdZu2oqM+zeooXbnIP9T6PsmTUYTkC1nXCAGARCq7xVYLTpXPc9o/S
PjL9ASbobZs69YNkSzeSXW79a90tnXJf2K41uP5j72TP6tF3RO/Z1Zf04gfw2z8zKhZMEvaM8a48
+jf5C+QYGyt6/C2913fK/VXrYF7kWjQBLdhA/GnIyQBwmgGrJA2gCA3ikqPRHsvGUeP3hP0twA8h
xpiF1zBaiCkDfn5z8k01aedgPMT5JiTEbnVt307VrlZMaE0NVlMVAgar1bBmUFD3QUVZAWKES2do
44WhlyA1zUPbo7IFYhSKKaJGuvXKvWZYofcbubIVlTcxOeqx0wgnO9ce+MtfMG/uxRUkGVWnhB1+
gZ/fkAFITZB4bIrkOvCvK+yv6MHDg/dyKD2HMs0rrUIPDn0NMuMgTm2Cca9pwtbEowYU572KTvNd
WNxJ1SFgEP9mkNnJYwtyMgKz81/LRwiQF+D2gPoGgCxchEgMI0szBrMmiFo+i3iq0Uox+0M7AMWe
1TNxLrhGtyWkLKDVHlE8SEiPR6oxyfhl4G7q2v5fSAHnZiDm9SDLAGDy6VK0EWTBK+JjSqx6qOlr
AoxniImIy56v3V1LI3PoXHxjkk1jk3pBaquSawRXzLhFugQCjstW1sLg0gr3VZNx0jtJhit4Z1h6
CbCqiH9U5Ae3Vz1ZSeVMgQUtvu9TVA1hA2rjgQigsHZBmtDWBXh6Pph8shEbcl4WVZTakl+9RLp5
VynSDWXDwWDttibN7vLCrd350NlGhR8KidCT4IJ7ibJrZk6zdoqcW1nzVhpfBWAQl42sfp0/RvhU
c0ALUe1NSIwYdWtXKiZFRKnmikTTPNcHJDjgtmj68o/N3O89P/PgRxBaZWqlX9JteBgOxSY74HET
HnW3x1UxuewmuNL2l91bbXdjFg3ofiCCAL3jFlFBocQoa+yNPLA708IFdYyvy/4x3sdOtAVG4bK9
1S3y59zyhTothtSl34Qpyj9Q7fF/tdA8jM3PrLgT6gesbo8/pviCnaKORh+G8GzwEyeMpmM4BA4Z
ekHvcnWD/Nn0/A0fp2GkTR486rR2OyjD/YTr7/KirXqCKT6wOc0Iel6HiCme1vkpTNTFLwqFpThw
e//HZRtrACrALwGRRu8aOrs6F+VTllSAkkJetLenjXlUbf/K/13tglf/vviJwiN9AJUK+YSA4Nyz
B0wt28evl3/Dip8nP4FLCFtW+1opFakt16OnAmwqy3cQWo50R81AMuJetrZWYDUUDWAmvE7IjA4+
De8yTTzaqfBYxeBQJOHy0o4ewFutDoCOXUyxZbQzIdEdrZoN5rsER2ElSTsxz90uckeimMUVvqq6
kdCagihvhxmu0qbyrSwJMuG13OHEGnfL1JBjiOMQ1ih9aFBumAC7B4e6Hry0FBc7CnBHr/mHq+3E
KHfxaKOpqhgYBM62uC38Hkm+6Hm59nw5MTHvqcUd7VMjT6UEfknSvadtasOlge+o8rXmvcXzqKBk
VZ80lTDahenfV0xUzHy7qOrYOqhHw0PPfsn+j7F8MjoRadf6mjONIKrOe4yndoWSSFqGA35bW7yk
0HvtPrRp0xfGNq2e1MnB5gPztFBcZOUUGZgsRidkbq6fsZLRUMuTwMCij1fyb/VHCdbpXelodvwE
Hr+Dsi/dXgaxrOAwrQR2PONlVBsAz0U45L5DEElNJhGc3WEzuuTDeyfuBC0gzPP5v7MbtklvTezs
fXQvuj5X3dVA3gsmNhT7+dtTHlWvVKA2YnuDFdEXBuKIZnPZuVXf8LQBrzZKmjovfZdIMh0wDYuT
SuhWH35h8nf0a3vItkO0vWxqJVWb+Vn+M8WdmBJMmQbLYSpQnEQCnfLOzLajLnBo5c46scJ9LEjO
zVN9sGLE24Hc1oaIN2H1oyzcmN1cnMo+0nJShDAQEZv5z2G3CURDA2uZy8weh3bIjPs9E1EIgkqq
wg7E/Xoou1CisAzFTeOfGMYJlSOFwEa8ATEVRHVEtNdr5/rEMndPSTSBijCdJQPK+xZt8RRQlp8o
Dk7oUxROhSadqLy1ahITBARsajNInH+DKWbkJbRDowRVmqR+yiE2BabKGOxxY2tFoBiTRrwfnMub
ceUrzmML/xnl/ZSNaIxnRtxsusvZnax8seHXZRMrl+CJCS79rDx/ouUAE75hy6NV6Rbb+6ALGA3B
bfuNm+ResUtLfLOu7hoNDDqwRIv+SWvLq8ib+eAicAyPWEjqNPSrSt6Y8ojXRMmO6RCA6Au4G8OS
48gytGAfdgxT75Xjs2fiyaAr/RVCIgogSqvTsruh124jKLxdXqCVgHDys/kkJewCRavxszvUM0i+
6ZUXE3jJzL1sZvU7QJEWmEITJDR8bdNXA6/APCPK9mxSX0LTTN99bEOIH6s0wDNEQ2RvMgaSNRmT
6H//yNKgJYYzrMyjTAh+XLhIyhSCaiEQW8ljLh+yRODd+UbG36/jcoIJDZyj858vwlHagV7Ui/D3
12jUYugWc9TxxpTfLq/hCroQZgDcRaUEfTrYOjUzAz60XINyTBI+gGKkjzcy3Q6+w3wf3M632uSU
naWbx8YunzTVamybWFqxmUShcc1dhjlzpB2zCgCPRG2CQolGAnfL/Hces2MzStuxJSKk9Pm1CL4i
/IPJXobGGF9lbJJMKZOmRBFutLQneds58kt65R31a62yG0u/Tj8zOz0kVyINum/WndOzDMvgUZHB
QoHxKh4jPclyKxUyAnDP2BRYEp7XXwrghgeM/8+cxUkDLH8zMxiHOa3v8yGBZNCUKhV1lDDM70D8
gBzbT+oQMkxmzRwKfiO3r6sOCHnWppkFdg8fw+xlHDx5els/9VOOb0fl2NgRLxLdx/PGOPMHWG9Q
iqGeibGc041TtmnC1KhCp131UZsp9NZNzESxdckwrJKkx7FKkKInUKZBniWCM57PyCJxw0gQ3kJo
eJ2PQSheApx5hcMf7cm790Gt4iihRm3a6h6M5G8dStQ7TKBn1lV6q96AwUWQjpzHuBP735ff4nhK
CqjaZBP28+TLZwcv3Hbeq5YKUqvVU/HHy+98YmEFhAVdpM2SGEb9EIPbo4Imp/J8OQSsHQnM6QJh
C3KfmXH99EO2NZjyC9rNQ0DFHWm168CkW+ZNuKJzy5A8wQV9nscBL4wBajBng2j0jLMMRBmSr7Rw
CeNPEBInFgkEvfZVC6g3I8ti87XAR04vJ4QEcwqgs42pYtquEogZrC7ZwgKXKo4lECZg20b7IL/v
PHBMPsrRwYxBzCKa2T+/47Ba5qzDimoXGF+48Nx6XQUprB7bfLrBOIBc7rzAzXpLAxmuEGk+v6f5
I70wdkbljsymyuZxsKp0UnLdj9u0dA1wh/o7pm4G6uT1bRpiun5ngMTj8i5cEdo98ZQfhvOkdJ5p
hPHypr6XB0t6Nu3R7befybXmXIPbLXD07auys/x9YSkYaAFjk5XZYDhzUyBzBT9n7eAtl4KcHgqM
LQPxNa+7XB4rdDTNnR8IIshaAF2a4KobRWB6njJP/7WJ0w57Asjj5PQNOosbybBrIcHv6rEAIwtF
vQqbiS8dDVkcqxlQpLZfbOrmTp7eSLQz6tsRI3jNb4PuE/W9kMBznMV2Ln/U2l8XHXHoUWDXdCDc
8SDgjqVXMj9qKfxNIYwKJRCrI4JoueYh0PkAAIM5GpNInAV5KoqYsBkiS6ENk16D+FKwLVbqb3AC
bSzwoUFcgfLnsSolufRiDMxAccBjh3R8UMydFF/7jZszxzdjq6wBdMO/gvbhWiBYGObPZqx3ftN1
MIxhNVPaKvRn1Nwo43NdXCl/j+E/cZI/itGIUFTMThag+67Hj2IiV1IQOpdPvMgj/oiVWcLGeZgr
oNRi022SHfAS8dhPudkB6Cywtnagl+vHnbYWsL06lmefgL3S3+vmKup/XHZo7VaA8Iw869hhmJ1/
ERSFVlVlAx0Rw1MBWanC32EHhsc+n0Y3GPzJhcCsiGVxbRHnMh0arEC9gwDxNE4NUkBDcwbipfFj
04CW3pbk51yxRhP0W0+X/VtZQhD5gxUe5PBgduQpytW2U3KJwVZjovBLVPZUNGzaJHo4Co7ZSmic
yU/QYcTDbibiOfXKlz08fKEHaYdZaCljeOPndxhmupGU4qqgN4FMN4aG9Piyf2ffD2V1NOYM5JMY
wwG76anVnHoEoPIM5xf4r7z9UX6zyYT7rPWvUPfeX7Z29uU4a/OfL1I7pEcRa0tY68q9pDxH1ZXW
B/dT1YN2IbKoEQqCo8g7bk2zdOqisIK9pB42qU7vClZDsShxwya6GXJwD1727yxBPvWPx4kZDUl0
PQRVW6c0qHM+VfVXqX8Ootmw85IaZ4crNjSGF0ZFBjuNSd7rOAqsKsqkA5TGjyRNobI8DAzE1QOU
EyB54Tak+5KaIhaEF5G3XDCrQ2NUlNnbStoQwykAiW0xyjMIyc9XPyMkEbA/UQ4FufLptoFmQkrM
EZ8xKK7TcjPE9wjVFqteA1EHfnWDLiypp5Z6STezaYAlk7ygkQSKxAxoK7C6t7Fh+b3ozK+uIAhP
UQ4HDwjKEafmVKlPmhCsdnZTwlKoOCkOeDORa4ap6X/YmgtT809ZHL2oigu5oDBV6MqjAVa6SEMl
smf7ShMJXJ7FzHl3LkxxMaWOpCwjDRZR9c170MoC+97+VI1a4NH6KVjY4aJJpKIb3wdFjQFUl05O
Bh4xEhROhr1RJk+YxU4h14WJbFGqIPpqXFSJ9WBo8wpLWVIUh4iZW0nVAgOfO32miULK+XDm92qC
mUaBLMm8sKcfrkzzYqaKrCHBM/xOCsUGYOrWGPx9k4ZvXpai2li3XxFIQWIzOwaGDLxI7USl56BV
/KpibvbyRprtnTyYTn8P30fvJD0r+vZ71UHMJFe2oXZWEjCwr2wk5oCjp6j7f4g0uH3RO0DdBdc+
t6OkPNHokFX40nIOwYpMd9V8dKaicnClCN655yV8OLg0xm2rpJNyA6TbNUZSDrQ7gMlRDY996uT6
M0hPE/M1QPPg8pqeVyQ5m9xHTsupwcggbKrKVRbepg0WsnCa6DFGmtg6an7ty7s4cmuQ1zXXo7FT
+qugedBD5FeH0BchPtdO8GIJeIk9SYIwDE3wc2rNf+/j+pOReFsM3t++jr69BhIR0O1ZApsLfwpS
bRrmMBPpgGSw7AfqffeXV3bt6kA95D8TXNgzfco8TN9gYaPaqtVDjct/ku6U+MWTBSUYkSlukzKz
mbVccTAqCAYG6X0tlZtCBxV9hoetYOXWP9Aft7g92tSBlybAA9kIRGCEd3wJYD5VIOOybmQmM0e5
ESV/zqF4MI2wlnDq4hpYligArb93KGgm+ERrdy6YDP8zw/lShUnulVNd21N2PVRPTKrf6uwmT5oN
Q0kkAGG4IEtbvTiWFrnTNkHQTI4aWGwzUN3mO/M3nKM3Y2FdhZI9gTWq+3vCUgSVWUTtm7QZlKWn
UbxBHtq0A9ZS9ptjBLiWpPdu0txgBLmhAm74c9TtfK4Wxrgspkj8zNdC+BcW1B1A2BukAFMXle0V
m85XLKXDWMlLbt5j2hVCwK1iJSJOivU1XvwG7mz72ZSgWgyHGbNM731QH0C2mDaQLsANBgGOvrIM
9bbWf1w+70K73IGHkEugo0GAUwhcEDoPcnefg1WEbAowCEtJahUMlE+qoyAzuGx69bgsPOaOS5Z2
UpSNsFygKyB3VxMbtp3oRTN/Ov72RasIwRKJE2qkXOYv9VAXkPy2tskkO2BMwKupad8uO/KdT18y
wiX2vVk1ujk0YJw2b8Go1pBX09xW0jFVb8DSaJevJtnWzY2R/2pMwSKuBoOFf9w5kcpYlToTpmnS
gJJRtibQpgQYaQCNMDN3haSLuipr+QxEyDRIiqOpCq7T05OpFVkk+xMsSsXT2F03pqWHG6/orYSW
VtvsxOPfZ5D0+Xj+scjfrp1BknrMYLHTtw1xWX43xhMG43InC2YGI8ylFuiNiaZVVvcnhXYToJsA
HvGjthjviTNtQMsvl471cB9715m/v7xzVnfnHxN8795vszKfR5nsEhJJUGpw+kRE+CfwgocRpYrX
S8nshYZ2fhXnjj8eguD3ZT/Wc0AVkkWz1BV02LhtKPtKEkoGrCRx8AP/v1UqY1fphRt5E3jO6bZn
9xn6S0h8RZzIqydgYZoL3lOVphMADDCtvBRDYJlJZ/Vhu2+9H7R/r0uR7uHq/l/Ymxd88TAsAVuI
+m5eUHPa0mnYgt3eLXJipWZ365dsK8/cC4mId1XkJhen06EbqDybJab0Ink/u6QMwIA5bnL6rnSp
25NC9F5c3TpotH/PtQOiy33UNlBTs5mwsiEZN4QM0JAsrkOwhxnGdBMpz6Ey7gZo81n6GBbIswGm
NaVXOTYto/a2ORONlK6elplwWwEyCqztXORRgVlvI82o7KkctglpH4aACg7kak76nwkmc1N9XYEH
6RTABG2tXrvB4yWKt4aKUWxBQrr2JkZy87++4O1wuoukVtNTc9CRYkC4IATEr0X3CiMou0zYslv/
jH9McbcTpurzUJ4/Y9fsOnZv9K+NIroU/p8A8McIt1cy1kzy2MAfPfVRzYNeAkC4cXL1P6R9Wa/c
ONLsLxIgkZIovWop1Xr2zX4RfOy29n3Xr/9C594ZV7GEItzTA/c8NOAoislkMpeIyEexKncxXE4C
PH8b0SiLEJg7/pgv6ErIYmJ1cgsOa7RDUFBMbXtM70BWZNK3tLqrmCAEF31SzgdAjDIxYgmgOXEY
Gtf9wGNNLwi7V0EwmQ0+cfxBi+alidA8zUZj2bcczRljVHrqpLug7LFv++5Vkz+D4RxLRfTJiHXA
IM1udeVnjVmroEDXWrzx/VEAtmr2Z2BczKeYLSvqCWDVlFtTelf2qj0FP5pCVMoRAS3u9MxL64FS
440EoCh/iAdPwaKYAflxQcVNtEecS9JKXABJDEOQGfIfQfYcytMmq5rn23u0DoNGa4zOYiyMJzer
yiLMmhluScEw4EAn5LGfR7Dt/G8onKPIk7IOUPqo7bHVtooZvkDu0ItzU/BMXr3JMIL+n8VwrqKL
WBp0hgkfi3f/HHqqn7tatG3xnKwCZxa9XkXfjnMQEIMc1K4AHAYaQ2KXpLfiSNQKIFoTd1aRrAlN
fcSny9C15tTEDGPoXWQ/otSY3RZ9lg0moAbq0nTuXm7v2ur51SnactCZB34Cbn111aStbvqA1g6I
jkeldmjr0NCWlX+TygT7wX+huFU2KYZO8hJQCu2ONJggpvY0Zii/yV3w2dfpjqKAOZQQHLq9xNUt
PMPlXJQqJ2MfJxJiH1hHB5YitF4H4yBIZK7u4RkK55toAtJtuqzOUJ02fSrBjqKgkA7q77I2XWFr
x6qHOoPjPNTc9Z2pZFhUGrg9EsF96dHmu6p3go8nwuFclJIOvVHJWBapWmtcosYqQvI5ee6KWBQx
LlHL1UP4v2tS+PAJkrCZHxnAMsPXaNiF4KFMILbQ2fPgW2nyPJu/R/mlUEUTk9fj6MsT8QyYC6dG
SU/1OQNw1BhoWv/d+GawMUbITsGVVYnkZeVz30+W2RvOgGC17MHeAVUvQsFp3bMnEK0/TJksquzc
NikUxi9vobxlKuru2OM2fm37g2Y8tkW4j9M3Xf+e1CJlvGUnr78+5tWha4T5UX5gnSpTWdYpnFCd
yhaUQfpitCLaWLmyG/MfU4oW4fDf3OdfIzlQOcAMH+cRxsQnJKrhXPFAx8yV27TfGvpPJWJJXs+w
nOFwHkDqpjhufCyNgdsg32URiPR+pvU26x8nxVPIbix/1d1rlT5ibMa57X3WU2R4C8gonCLpwfds
qJ0UtsMA46pbV6sPc+eCYNuixV1Z7M3WiZnVVbUVgHDkNvDiua/387+4X5ONZzFMHszV1CdY9KwQ
K0VHvz+KDuxqauXP0vgJzKmX2jRVAGHkaL7HKkq21RHJYhoygWjS1G30aZMGf90X/3Vc/6yMOxcs
z9Hl3MNsNIlh67q3uU692x9v/c74A8FFGZoedY0MEQDbLE41JEWj4oXh+r8Nsn7i/oBwdy8Yhg1p
AguzjRqfpUq7ZuEpINRqsGH6+NQm+1na3oYUGQV34tJBzvKOADL30cPM0r1f5N9vQ6zfGH9WxR02
nfpoyjAQ1FZoJc7rU+4XXqefIrBR/RugP/EEt0cQsxp8lcI9qgyT4Fkc2CQ33H7MrcJQ329jrbri
Mw/C3e6qUZFWX0wOxEepjh6y5K1BBbozNl2AcTTRhOjqNzyD4253vWwUKEABLoAkYXSnlnZl3Oea
wDWtGsMZCne3QxhUx8gWUPpk3mla90vpiCBav70QlB0vr7BUjs0yjwARVbUTIjqRqFVLD2m1ub0/
q+fVWMowiqyqJi8TAg5u0sYZpg/JWJwklZ70TH7Ta/Z0G2bdmZ/hcMaNGZKk8yn8Ah3eUcpSqBtH
G6pYrRa4cg25uC0Y8UIwmwpwF1u+cuZnuJz9kUlqmm5eLhG0VNV9tfdnauHx6Pj5aOVJ7YbmjyYP
f5aQmSkrZuVdc2QMpHa3f8fqdp79DM4uqT/ndGiXiCTt9qVaHho0dWXjaBFJNMK8rOjWijnjzEyt
HPD6qu0u+6XBcOoYjzu0FQ/voG0VeEXBsq5Y8ZvEz9GIi+NWb4IwsoFlTrasCjzjqhNZ7i5wjoEk
x+A2UVVHPWYDjLSaPLX5B506JYYkI9nR2tdabgSne/V2OUPj9srsWNKyEXslD99J/ar3B2K+DX6I
mYVDXm6mthOcQREgt2NJ40sqVHqwvDy2At3OpZOC4Yu6uMuoq+kuFaWDVv3XnxXyDctaGEKmiIQ4
9AZoEZBpmOP25bbBr7eKnGFwTwO/QbtPPmJRcio/mtFgLnKePYZbSe8o6XhXDfG93DY/azrMNlPn
18afd5LhI38Y3Uf1wu5Wp7FbpNSHWDroZYapAKO4CZFewS8lKwdmUZNcGve0Raicc7W+1MoZRIzs
lKKs3wQe5r0wHFWUWxJjKrNK9mHfemqZgFETnioedmNripJA18QD+FaLJJ8G8nT0136F4mdRZ1BC
abhb9mSyQTGLMVCbfeD/0CjG7rTGat1v8mdry0/SMffaV7DGpI/ScfJuf4u12+D8RyyGc/YjWgom
j1LCp6hAhTkOyqZQbZ0ygTNcQwHx1H+Os7lsyBmKjzFDCBnDNGJ53kuoG6WlehdUUPb++9Wc43Bx
DsRS4zJmOMjI4m6pX7gVw+yBKkrCr3snMBwxGdVZnecNwqhdgbY2LIfpr70+W03mdC0GMycX7C2y
LpqFX79KMbQNhRzwoaKr/fLzBQMb/USFpaSJnbLJKrpjhhowZCbG8DTkkFeMLakFhZEmOCmrbuMM
mLOOIDKltEDDhj2xyoPiqjeIZLdW75MzBP4ohpmGUAqfcjQQAs+bUocUJtsWkJ2+bRqrlyS4AjFt
Azk9JPAuvyFoxcyxGGAaefikVW6EhgsZUanqYj5aALVq7WdQ3FfzR9LLeb5AVY+qMlh6I4PcORbc
ISIU7stBHRzqNUuuToqOJhoDInR7CslrVy8qNDeDw5hRNP9zIBCzliraYHsUkCkH0XGC3IYMKp/m
3kzdOEmtigpu/mtG58UtLhM9yLAyDTpKlxtVpn2SJQyQbW4lJ+1petBfmjvy4G9kZxEmw4x/vwt+
I6i7bSBrh/oMl49sSJ3ksfL1Rpp3BnM1NM7GDyQ4dIozxYKy1vXA7OUi+ToDFHiTHoEw7krPtAKX
BVYA/w8B2Ydsn0GMzZytd9lKX6sNxMlbC8qpkuC5sXYezpdLLj8zisg00lWYzzxuuvgwTcgtvxi1
oys/bn/X1cLhORJ38rTMzMkQAInEB7jkbuocKh80DZ0ldFvrmwoa2ZVonu+aE437wtwhNIw+IL2E
L9xYxWlGmI+pUGsMIMFjhe/tq/90aKmFmRbnh+8Gouo2FRkTd27InERyH8NjgyRv47/oD/F74zA3
clGF8wJs6GPsGA7E5XfaU+VI31uwVnjNRwnrLu1mi7DJBJVovNvSb/VGfpQOkeidtObaF0IDCDgS
CKrwg8aY9poT6N3jDhvv/GgEbYPo2lpzUOdRFrfvdZ61qTzh8sh9SwO7ipR5vnBQYTVheY7C7XOd
apE6L1dUBocOfTqWnsA0oYa/aIdeilSClopbya+z7A3mRptk97Z1ixa53G9nkY2Kqi4aFwGvFI+D
hFFDtA9muajIuhoBnK+Sfw+1mQQ9ENgT0g+1sWma4zy86RLE5dOPJn6Vi61W7ar56fbi1i7nc1Tu
XSSVI/q9MyxOraR9MrPDkP4GFe17M0m/biOJPiPn9OteLvIcrO82mx405XXqn1v/9/8EwT+B4i7t
chZgMSSZbRIR0L7OmznNndswoq3i5zVnwwy1blg+GljZkH1AoNEZu5rc95o7KL9i5VAojqxnu9u4
gi/Ih9hBOPaKHAI20D5qpLB75VEj77cx1r3af99NfByqGeAmyErsUjSgmbQHHdcgfRjGcKg18hkb
z40RbW8jrnupP4jc6Z7MpE5VH4h1dfJlhLgZJEYEF/8qBoRkMbCJQeir7qu8MRplWDwI6cK7whyQ
CjLVovt5eyWr305RTUMFuZmh8d9ORrcThDcWFIgqT5I1Qe4pnRwiUUgU3QdInP9veNyXy4J5SkBO
BI9RPdXqvZ9skukYG98y/3EEK89tsFXjO1vc8t/PvCCToziRdYBNPeTR1V2dNGABEHSPr3qjMxDO
1SZBP6C8DxB/qFwQXNlyZCLXYNyjqUVgdqLN4tytHuQxSWRAgdOUmmjPcdv5cxqfKTlIraAavvrt
/qQB+GIia5upTH0EKgwM0NOwVwwnqkR8A+sB5xkKZw65ilc+WkYhnncK7+vtvEW9fZedSihXxRZq
KIUVOXSX29Ip28iZlZ4Mlwj275p0ZwnJzn4DZyVtp4IkJsER6H/eQ/0oeEP/4q+PF6JB0a9yelvz
mD3b07vhdjbdz5rdblTBb/h6sPC50vPfwBkR8sBj1gT4Dh34KpxssLWn8dB4/Tb+rH6GjxTEnS4K
94p7+4Csh6Nna+csKs3JpDcVcCGSZUgWci2Hdkt++b86aqEaLm+IVX2ir+O+ROM8czNR/XH18Jzh
LxZ/dkJ9VU0SMwK+9nwyQdHx7h+H2MXeyxuIsD11B/+J3IFmJvi8vXARLnexx3pTanqOPQeZeYT8
iHqaJVco7itA+XqCnK2OJZhHGClWF9WfsX+AWEQS99ZcCd6my4+9YTxfV/8ZDNEan8bm8hFBCpyG
7B+KNwRkKSyZ/p5DGc8aGTlqUXvwqjP6s3VfLBhnqGo+12E/AbUrf0m+6qQJaGdSENy96MiRRs3m
9o5d+SNQOS+JUZB/ocPc5Mf959LUE1kCWXtcNA7kVDvmlaQSnIevKtPFp1wIo8nSSoJqP54g3OMA
opRBmC0CgaCsnVz1BGLlHXXyA4rgeBjN8AihM9pWkduoHeae82NvG+7+9kqvM9bcj+CcYsRAEqEu
Qo+TB1ZXaKJ/mgffaU7RrtiZJxBn/Ur+ORIruS8dQxBaXwUdHDTnCzHkE9ZJvSjt6ZM1gmGSDoI7
7NrdchDLoTmzG1rVRm8swtqgRkKmRv3+Pd7o335qe+N+3kIU/bE9Rt+zx+KlvZs/UagNVFtxfcHr
f/Frt/aZ83tsRmAqU/wIkNhW8UMsbxS6zbJjAYUQwW6KPinn4oJUzqH5BChmpd8wU6WPVvmZvR77
N+m3sVXRJOCyh9uYq5BQFYe4E2hdEUNefuIkH/PJmBbWFAVMyJ1pl6EgbFxhnfyiB/ovBL+LUSTn
0gyIInWUeww8ZF7rSBa7f0E7zE/MVP/WX95rSzLt2s28yhlKywAD9Sb61O+6QywJvvKVp4VR6WAt
UsHapUKXhCvyJEPMSlpSKMsoezLsc9WdjN+FJorJV5aNUBykgPg3xNOuWoG0NOumSDZhvHFUbMwu
6Lc5mgpmi+WaHjjMDI1TJGfhXWCGXeHURVbdDUOaPkczjfZpRrLC86EeEFtVhSQv0f30mUhGdSTx
CBVvoo4VaLQ06OI2w9D4VlyAedPVo2gi4PeMtGcw2sVoGWyIvoubBg07UqpIosfi1YUCGSBMz+NV
APYiaKBwXtCfksCva6ySJprsTkPu22rTSLuhXQCrFkTIZFA9beoGD6Xsvx4MXOANBvIkjF7JaCu7
NN+MDUOUlLjLIkKqTcuS4MOYaImETS0aM72+VQC18Meg1gXKK51b6WjGSpzHUMJIO3QHMiWPdmGp
G8jljoPARNegsHOLTJxJCbL9l6uKSyoVQwo+53Aqm0Nh6OUjiVvj0yhpNAqwrot4mHbUMe4MHioC
lhyeSHLE8OzQlBWuKTt/Me+L7ehoitOl0EBqYis5YlRikxwDz3A0N3XhiN5zT5S5XlnwxW/gHJ+S
dO0QDPgNfXzUtLeQfUtASnfb04kwuI86JXLQFQYw5vze7+7rcBNHz7chrp3pxafkE/D1ODetNANC
naeNoqRbxDzO30OAxwiT2fgDhrtllWdXIhvUvALbN545YOCMdPYw5IlgFdcJya/51z8YnMPuWzBt
thIwKjcN3fghezWO8o4ErrI3vdBSSmsWbc7alztfFneOm4iFYHoDZDrXlgmG2l4Q+F63/XKL4kws
QCK5kBaE+sieQ5vUqFZoT6qjW9lmcBo83ox7ts9tWfReW/7iy/hhmSb+8zU5u5PAZ2WOYQ1qwcf0
YekjsI1v2oE8RLaxYy46ajbmm/LWn3xb1PK1iqwSsFai9qWAiOrSVnSth1ZSBWS9iCw1f4k/CpZY
2uig4CuPn7cNc+UiAJkBmHYXCRcE3hwY3IuZdnULUQzlfuoXniT0ygX2qENjz5t8zDqKRgzWDjQ+
Lca10V0DiXvOIXdxWJhlAd3hHKGfPO6z+AeGt2+v6jpYAMIZxmK3Z8etprUE6l1gSLkV/e6bdzlw
4lB04K5aa5c6PJJ3YKKBRiGKGZcojdYaRFPH3PZf5X35rC9mQTaVgerOJHhGr2zTBRS3oHAg/lhL
oPPBCIikx1YWPusgpAxNS9GRBLWrWVClW/mCOFpgTdUMEMop/PRiqvUmuoRBg1+W9xUdrERFZhct
UaWoJ2YVCFxP6O2gGAHnWxoColcsT3pUTjBXP0WKZYJUGoQFbqNWT7etYsVbyajs/geKf6z7pVrI
cwuoaSFgavL7qSu/3YZYMW5YxKLvCn5n8+oNW6kZYroSEEMfOJlPHxLkm8JE1Dyz5utRGYdKKV2o
bbGqS9Pr0B8xBOmUYexi081PUXqQ4reA7DTockToyagO82gP8V2ZPoD46fYar1N6i4YkxV5pICCi
CMYvwfVWY0noq5lNHlFWQ0bpaOzcxEs85F4na9qYjxLesdBM6axXyfMFZ3ttF5HPk1E/xBue8E8f
WZJYHyVaZiuYQ806HIloc3uBa5uIAfelBQBdG6Ahu1yf1mmFr+NpAbKQN63Yz+RRGCpeE5Is31AF
dTVyHmCw5lXg1Kif9EzR8TbVDsngmFa+6a3xMTrNjy2aG6TND7KttrfXRdbOGkiyoXJiQPHkashw
LrWi1SosLLMaq9t/NG4bWxgaAaFbZ2XWfe8Qz7xDA9Odv60hNbPL7ATSQlZgBxvRj7lOTC5f4OzH
kMuvnMxZXaYNfgwaHhTTQtrMt9FzYLUP8QbPSfmDPUG8Gg+kyL77JfgQy9/NXe4X2Jzn7jALoYD6
AcpXH8nvae8ogVtZ6kP37afxa/bGLXpAtsNRZ1b8yLyisBRbyG+1amRny1/M/OyK6io1LutlLwrX
fKYfvYWi1knzYHT26EqnR/JYCvL91/0Q0AOHS8I7GqZNQSjNQeKyH4K6gNJs64Hud3KbE/Je903j
Jg+jAGxlecsr3YC85qJCzstcTkFS1HONgviQbOVMsuZ5G0HM9PY+rrgC6PWhXQdeEKE1fwEbWlFF
paHAhCbFxtQgGIcFCNdpe4Try3A2LkGELJDtvvxmPlS1mrxgENC5a7zwXR0s/0g6S35+SD5CN4i3
SEg01u1lrR2NC9DlHJ/ZBpHCLDcygA524wVbxTIQ/26bb+U7O5EtuQfHTb0JT9lBWVQKBOAroQa0
o0GBin5GnSD+uwRn5jyWfmZANMPxveoU74x9oFrjJ3lAWPiYv0WOtou+Je/Rc+y1326DrzgokNhC
/omhWw7Q3ChCVkHnIPRDxIb5yQ/vourEzN8DEfjBFbNZGOF1UDfrSPJ83W9nn9dIorxNcowtDtWb
on7o6d/bPvIMFLlsA02+VymHvOnaCSTbOWiPKmtIHJLfY5r29pda2SW8DygsHwQ9FHfh5S6R1Ff1
oV8eexiOy14GwysYqA13svbkg3FRElZa17wHqAbhP6CRidlDfnwjyvoJtL9TbretN7ig6/ph9k5u
xWBfF72A1k7dBRZ3ACR0CJGwBhYmj7O77GT8Cje6023Ihtzb4IA/yZ+y6KW5YhUXmFxIpRQVtF8V
YBZuCEmQAldk6CRwx/QU3rXW3ghEx3zFR14gLg/BMzuUZAVDzx0ECRku4J/yWxLYrTXtJqtxTNd/
Vux03+1ECiTLMrir7wKUM5yhIQWYIpdlms+zdMDY0qDbtM2sHC2Wt210LUo9x+ITK0XWa3o7AgvP
sMaFSBJqzbb6nB9i54E9Ns+Bcxtw9YOCPQFWCgei8Dli0G7m8GoynGU32TOum1h9qdB695coiyLP
wjSG8RCQAPIE0bLsyzMeKWjhaxPQUjulgsFYEavZ1VI4EM42qhJEGv4IEM2HUhb0gWnuNSJHdWXy
i+gPxFMonuGYyOIfebIyjPo4QvUnJjB26gxBKTCBK4f+hQAM6N0s4iJc1r7tyhLs5yCdGyvTySvH
MJ+UFM0Tn3+9JYgAICaCrngmE5W/pYu6xDuyhEoSJuDTasQEx3vw188CSL2oIElSZOw6HiDcWqSm
CLWagfg8D+kj7XpHyxWPBAI/tLLxFyjk0ilM6eB3sb+g0GSHuV5Pibp7yhrv77+YujCuoaaiIg3P
uYF+RFJen8Gt3qfasR3piTHMBGfdv4DRkCMm6PUEUy9f051miei1hrJ4A5lrBDSLSLQkYt1ezsKF
S8PGQF0OtyDklKGOwt0WpKhyZPR1qClr2mYwIxdU+94Q6E6Txk+jNDhhKMp8X12/HCR3WcQGBvjG
loFwP1LRmO5G5Y/Ab51kRMYu3ai1B33O2xt25beRNUYBA2EoBKsgVMmZOJsLvdRaVFQNo0FQjafJ
UILjofT02Xjq/UwQI113Ey54iHiR2ALrArJbl3YY+rTzuww6HYNfeV3qlvo+M70CbfjsNUneFOUx
DD/MQFAZX1sl5qJUFSkNBE+8MBeiqiHKaiRbab0PQrsYW6uJDs0IeedekOFdcU2o7iHOJoveGB5F
lwskeZLOVQEoBMG7jPrHLk0w+1r97sz28fberUERBISY/MKtgcvpEkoFL/2g9bAWTe9ljI6X3ckI
p/ZYNpVktcH0LzwVBF4wbQJWGn0pfV3iDQSNhT7BgaiJ7mLiwTIYypGiRMzaXkHBCVEukjEY6KSX
KKaZTLAe1BALJWGYnQmYha7Wx0hJVbRPFJspzz9uf8d1RLqsbbnd+Vpexeo+rStj6d3Q/kknEPOp
lTUHdWPFRrJphI3kIrzl/jwL0JqxaQsWAq/Mot9y2NpNPu5HKKpjOOVRr0Xx0orrB+/9n+VxR3zC
O7NKE3xQIx82pfSi6NqmEGlHr4Lg9QN2vYVUlG8HzYvJhHIv1jAmZFfRxxbdwbqS/P29z8gZCvfl
gqyrk3jp5RlDspFr/6NrqxOdfwZRLeiEWFsPiq1wirhfwG3O2TqdwRsyxxM8cf+UDqYdSJIVipzv
yg3zNYWk4B9UzPmrX43VqfYhrIcxQsUJ5Xc5evdRZc395rGKfmRM4C9W4cC7alAZJFqQB760u2kM
ZVktl1tzLvcsOab0V43WU/2fcgh2PX2+fapWokAGqRoEAQhs8BU5T1/LQyc3PSKOxDR/SiBZpXkk
eBGvOUCEZxQlH4RpV9NcOESyShr4WqRxdnKXO90wfUdNAx2ImuCeXLMHRGkMpaWl5M8XtCKlwhuO
oW0lZlvMNVqpvF0G4G9/suv0LW7HcxTu8tDVKMvNCgtqUzX7Jc2avvdHWj9AxHF6VaSZbVFdKT10
raRIzrPmEJeolYNqIzbviTn0z3rmkqHf3f5ZazuJT2widwPm3iuGhS4t5zwNVST4TP+BRuXDWL3e
RljdSAppbjgQvLH4YUYSaLk51QtCVCXRvpczJfZGqoBzKi41/0cb9qJM6RokEm9QOYFipgwTujwM
fkup32hwwpic/Bjk9zmhjyXq6ZgDyDa3V3ed4+C2lTt4ZjRpfqjDeCQo7KWDp3euPmOwIbT02Ckq
ivEerxHdo2unHV1NuKohCKoSvrlTkYKazRo6m8q63UU63c1Rd/TTcTvBlfl1t0/U2rm9UBEk9037
Qp/8PAAkpKqsVtWt0fjZ+k4a+C66LvPoX/gzvC81iEbhkXk1WdlPU68GEvxZm0dex+SPXC73RYma
LCOndgIvUcbc2ytcsxqI5tJFXBJS27xTC6t51GITIRdDAU6d0Wyc5Qe1QJ3F0ASpuNVQGedt8Z8A
xJ9LCyUsTrSig4X6KN3QZMDUJHCDTZz8HBnYVO4q/5mRjXCyeNXVwWJgMyq6jXjWqhDtsnOiLi1x
DbOUPHuo22TjCzl81qIgZNf/A8OTVDXGFEAPFDByHbhB+yahaFEVm3CarV7EL7e2bRrEZNEdBv20
KwLgQJOUmEBAFpG/30N52PhlVgOzpXYMIWaWeLeNZPW8n/sW7uoLQBaHhi3slt7Ru6h+KgxWWEkx
eKkWbMicfhtnDDVl9+AxEtyIa3uHDghUJBA4I0nG2Qyr+twPYthMUmmJVWrqb7PN9qgsV4JIbO1O
QE8aXPX/4wzgXFrU0ryYRwnxUTd9KyoztOgkEgFe3TUN+hEYfgGjBF0WexYnx92YDWg9WqRWJwvD
RlYRx7jqQZgtpIm76rmAh8ZbHykeuJGFuPoSyiikaR5mtPPpbWso+9akQXpCsFmOFmRDTd0L+7gx
LH0gyZ3aauETCUl3MLo6FORprteM5xw8C34JUigGX4bW6KANJaIAG5UMd9CtyQfxeqtZef5020iv
jx+ADFSfVHSsYy6dWzHtB62jJjL9fnPM9e8j5I3SfIunKjrKBGHNtVFeQi1rPttHaBmWFDyJOVgx
wbhvumaBMEoUQohAOIPsNa2plKUVLsP8c/NpSr2VaIJAaA0DvUzwisiXYLaOO12R0dfyGKBdBoS3
jp7224ylGyqJkiQrMGi9xo1mIItAUc2//F6TgnChVJBvzhv2A1QjHvPhP4Iy+OuYFu+OPzi8iACV
kA4bKAoFegYRgVLaNNLo+poicIeryzExk/1FVIG2psvlSCYqPE2l46tNfm/LRmFYpl7kVtuJZI5W
HC/EIxGoIm+HTA/aui+hgqrGGU5NkPZBeyQzXINhcOZkFJFj1N/1MtwYSmXPoh7y67BnKffhJYck
LkY/eHInPWrC2I+AaqTpS1nXb6TELS2jR0XOG0uTIMcSmO7t47viJxQ0iOmL5K6OLCRnIz0N4rSb
o8L2mbzp6Wc6Dd6MWGvSROT5y990mQaFIf5B4q0EPBxBM45Aao1XzTBxhbqSr7nz+F3DzHHrVqLy
wbW9wBejTQYpd8au+521qATJM2rVdlK3r0gpQCGAxE5OS5HY2Yq5AGGReofjhxPk22fBeRNC2wnR
HDIBe2rEIJ4PKtdvwu9+P/yaIU2ImR6bFPmDgozQ7Q0UfVbuVKRt4aNXHp81bCqLDQjj7uJho5P3
iBluI30wXXBjr1oMmJ51E6Ik1zFQx9ROG5uksBUd3VTh40gmR/atngni1rXTgLbP/4+DUsLlGayh
olf6OhYG9hFkrt9Vc7b92Ja0j8x8NyQRj/91IKIASjNx8Je7jGceYRhDDoMazrLSDwRkGDT4+8Kc
sgi3InZEFWAJqy4XNFYpEg0d/FdpEBlzzpgzTNrMtCpW5oJTvbYY5I7BwPTlTfhiOCpqqZQShsbn
oLQ07UEYUn1F1dxp1kwUtZbmUoxo8IFOV8tJUvvwVaPW5FbpaweWae1GmuL7UJbus0bV9j4Zjook
7Q2j3kmkeK2q+VSSIHCkHL6mCR9QQ1IRy/b7gkBNWUJEFsi039w+IF9zgFc/FarKS9kV0RDfwjnU
PZrokrCA6qm+KZVsK4fogNVlp+xNOxpDzF/5tjz+DGbNiZXANvu/7ileSgUUsjTIlSFhxpcNmtJH
BXKCrFyh7IOeWUH9RBSRrvi1u1tATAUNKkjmM75klqVZlZVTAEcAJ+Q3sqcTPC3z7e2v+VUU574m
OIiJhtYp3BlXGnNNqs4xMXEsx422ke4+Ryf7AT5JsLJUjeVNP+v3p6XpPT8ck/vaSt+epZdwX35n
jrDJ9DrWxoLxdsbLj2HEhA/ru7jKFZpgwcWYuHn3yqZlDKodtzPI6eq6cya/flLK2rA0ob7l6sfG
q3NBRwzHi7gj7K5opAFbjc0f09jaY6kc0lDU5rxyjrHEPzB8xJvXkNXuABMVqDSl+l0bRt9ub+jK
/bEUJ5GMwOCaBl3bS69kVOWcZBL2U6+fVP+uzz8omhzHJ6P5UNVt5wtixZVshHKBt7j9syC+naCF
PEVxAQ0dp6jvkglSRfaoOMO8V6XvJrXa4VXqBVa7khAF6pIA0ZaGKpOf6Er60qxATQ5V+q3Uesaj
7BY2+Yb3kO6oTrbrveTnr9vfdc1CzhG5dVLEVFmJNkMUZ+T7iRb7MdDuI+nj71FQuEODLnqdkaTj
bn+9MhcquqwAS+Pk1u20q+rGwRCZ4C5e86EwEAXHHj3HYJVeVnu+a+aQjFCnxq7dh8dx0+/An2Er
34uj+hOj8oLSpxCNM3tZkX1kyYHWbjDTudU9yHkdwHt+l1p4SIv0CdYOGTXRSS0j8kYbAPcNh9gI
K8TzOGSgkKfNP3i73t6k634x+P9zBHL59RgrtU7OgACa33TXfhAwmskorVq64iRHCA/aP5A//vt6
HTpacOMQNNPitXSV94sxTN3rDXyU/KJoe0rcIRXZxWLF/G2ApgaM+Ml40CL0vVyZr9XEr8ehsPNd
fG+cXvRfZGfezXv5OXFsA51imIsDEZ9z+4OunS00F+pwv+guhOviUJMpLNAAAJ+V1U5e61ZAkeEQ
pY2uGfewbecwi+GcGf2UByysyx5O476YrN5BRFjYxgv6axOPnYpj/aZvq4O5mwWu44vK7/qr/lkf
d9q0EqM0ZYb1Ee/7COD5Pj8O8Fob+oz83z/lsULvXw/hcTTbonL+Lu3drrPTH5MzWdpO2Aq/dkWc
fwfuOOpSrAeyjp/TNq62Zc8gKjnoTumS57Jwms3omo66rY7RffJug5Tv9l6vgqMJDIVNWBlekJeb
EOhGYSLlidOpH7rUyxqMew+PSejk/j/14GQiod4Vi0a3GQam8HCEMCIfVaR9Xatm0pY2jWR0PoKX
eoBmxkNkRFYaRxh9EFyIK7bMMJKDFg/wmGIsZ1n/mZFJU69VyAYVdpKDI6g1fvYBQlVK/noWEjcf
krnoQVueBUjHX+LkVCn9MJKX53ct7eeBtChJayI+5WvqCMCgpwN1BnxARNzc0YxDFugZCIpt/dX4
zo6tw9BV6T+YkYUO2dHunHkP2SjpZGygxnbbUtbc7AU2d16ruJ6qrgI2sZvf2Vt9TB/oIassA0Zq
lqDQoaDLfpXfb8Mufyt3WC9QucNqJBUMJgVqkx3G/q34a4mH5YsibwLrh2CVzPcoEpBwF2jHKWyp
dksZBaIE7SQvSnOETh8JvEk0nLgWK10AcrdVCUKctiwXwIPutUflyA7zwXSlfxpncjABJx+a7e1P
uHLGkalZMlBIfC38CZe2iZ5CbWhl2CYrxn1njh6qf5Zu/qbsE+9My1eYBwIlgXLa6r6BepmhIi3j
Tcbt29Dn1ZDgWYoQvt2yYLjLJNW5va5Vi8SyFPBrYP9U/uGndjQsNPzv/0i7rh27dSX7RQKUJb4q
7NQ5u/tFcLfPUc5ZXz+Lnju2NjdHhH0BA35oYJeKLBaLFdYCCQM60vXXLD7G8k2HLEbvNsOLCoih
5V7FgzD+nvX7AcGVKPLlabn+AmYzUwO0nXWh40wEi3TSrF6902vja1vPS5+povcPDhq0CagYafQj
Vj4sl4wgnNq2wpDLk1ygGH3qAOOk30nySdf/2ZZFbeH8uJ3LYrYNLQtSmVP/PPffLX0PDM1kulbi
G5IINo/+0LkgdGms9o7xZI2WKrAO7B0g3HwJ/7dDd7Ri0f1GL09WDO0FwZgkuicRRp2v3UwABToR
6pfxiuwq21VAyaDEd3VZ7rZXjqfQStLPLOZql4xmieMoV0qguy+HXAf+Akn8ZTQft8XwFAJAEloG
UE9HwY1ZtyxV6qRHuQlMCPmdRcLPqYlvZKReMPInuDt5ERqFYDZQPbQwb8IuHprs80wLIUtNqqu+
D++X2dxbQEJE+mKXpt1B1u4VTKdnteqQ6VZVnsAzeR22BvCZP5s0FajOe9yuv4dd4q5Glrvt8T2L
EbyVg+LrjXICYfUpSaP7FoWEDA35FtIV6EWInKn443OIKAKDQ3jFq4jKWT86Duqcjh265IuWODlI
txQX+E1AV3RzCY/69+2N5tgTeDyQ0kZjs4KxPSaiWMywmfMKNF/FMoG9ZD9n35dB4KRFMhj3ZQRl
mpEgqkCFUDhLsC/m0KuFEEkckz3ThDHZsK4mWWmhiQ6u3e5dwoR35kWJv71eIimMl4wq0nd6D13M
2S1CdM0dkX9U7edtKfwVwxtdA0wP6hGMP7GVJbFghhXYqAGqoR8IBmhnInAlfFV+CTGY3Hw09aO8
NHTrpZtCv8utQzK7Uy9oQri8VmDOSGBjhBw4POipPXeNdWEFyWRhwaQWsIdjd6y0+rrXq8wZMtUd
lWCvjqKqA2/5aAUA03EIkzFJdi4zS6y0IXlRoY8dDGQzuQbb1Z50ysv2LtG9Zry+jbAOM4w27YFm
29fB8JCALK+GLZjqzbxgijf43JZweU/SNBciKoDWAfOHLSYCob5XGw3vCsuOc28cIqDGR2PuK23x
Mc5JD78Y5gL/d7lh53czNZvVDUOLpr1e4m7ugC5g3ybBCwkw5v9YFteTKmjF5xTd0JMGZCEUaAnS
6jr9mJUwImPEP8VohRvF9rGM3mTNcJN8dk0LmHkF3NH0JYfZU0BEUd3lyqqgm0CuDQ0P6Phjq/cL
wp2O6IiPu9gbyLuu+UF/GvWPXnb/dAshCGl2OkQJt87ebnGgaH1bIkKt+m+T+R40x7B/bdTTIgKh
urTGM0HstQXSOMvIRkQGSvMN2AnONO23NbkM8FUk19AyhQSbidcuPXWrvWr1YSm7zkQsNV0t3b1Z
7KXorQkP9XhVqVdhK0gg8nZoLY6xwxIwtX3TQ1xWze4sH5e52QfxhzQdukTUa8uVBagHNP2jcxgN
MOeqDQt4bOBPcOXLr52dHHRjeSi1xpea3kG7iiDiuXRPFBuS9sXb4IIEuNa5NEPqkrCk9+E45o5l
7Ub7Jaj87c26dO5UBqavCOp6oNplbpAyGey5HFNE8+U/xvxYJ9fRjFZIQeqQZ3MYiMKzD63Q6LRg
1k1R6rzQLCpFeTCDGGn/h201uM4IVwdedj/9H7NUvVxXRVUnlVsWnlm9qMFXqN9pyTEH5H4qyrXy
rABn9Jcwxhkhtxv1fYYL0QZBcJweDevBMCrHko+t6H3OMwEML+BxgnZ4pFyZ7elGeyyMCAtX10DH
aPYEmNIG2J63V48rBbw6QHFBJIm76tzQoqY0UKXNKpdIDzOpHJU8SpaIa4FnaQhUfglhVs2uRwme
FkIWHM7y2MZfi3KSwaiyrQt3c1DSR1SMlPEFpmpRVa2VxhBjp8ZVDoSWA7IKraOH04cFWkk1DHLB
EeJKNFCVhLuTMbbA7FFkRIUhB7ibgvwHDSRay62lozRWXlfut5XjruEvUWg/Od+oQS+6NilLmMN8
aNNjDZxLYiB4FYjh2sNKDHNczcCo+36EmCDzzeG9jx6r+HVbE+6ioU5ioaBlWRdt2CSJ9AZN9JWr
qg9DsuuMk0wC9Gq6pqjhm6sMnI+MCSN4B3YeNwKW06jlUGZs4101a26C3v1JnwX3N3drVmLo31e3
XpaPtplQMWkP5PAE5Fv+rJhOV/6FK6XDpf+nDl3YlRzg9WWqkkJOY0RHrbdfiyX8m+1fiWBOKpLH
YYGCCyidw0cDrHTkbpkEAR1/+39rwZyZVid9bVBDbpV0F4FfKN3XIcAq9dIZhIkDaq7n8Tci1d/6
sA8YQIuOba1DWF9EAK8b6YjespeMD7O3vc7K/WHRwT/QJ0B7Hg7pQv679WSjBtPCDHUdQj7ca68+
D/o+aEUZf4GVG+q5WagZcKjsCjKyhnhWBI5B4liinlyBjbMTN7VZjmAdhxAl9EjnD/bOUE+WKHXF
tQ3M+6LHDrke26R/X1m4Js9RpEyQMlZfQeHUsz9kDyAHcC0AOG97IU7OFqaxksWYeqSM8WQNkKXu
lV1/im/L2/IFVa6DtTgAmkHwcN8frD9+tVOhGI7CYuGCYgFvI91q8cip4F7lZw0Amfk/lsiD0+++
MPmVCBqQrdYwCbNOswPoZRavdvE5Kd9T4g72kz2qDnqDBavIPWAradQ4V9KCqMuUrIZCFeCpQHP/
Xlw1jnUj7WOP7LUf29L45vF79RhHaw1g4xt1vKYbcANrce9F0wSQDWc0PkvjdVvWJbwcnn7rrWJs
Me2m1mgjCJPnQ+7Lbvyqu2Aqux1OzSE9khfJIf7gdydpr+2bx9gDccH2F4g2kjHQNgwHuS6xtFFj
HNBUMExv4MfYK9q7Wt0M6l+8ONbqMm4Z7X9pE+qQphb6J0gWYwfNT7u5UY7bWnFyp2fr+rPxbGUx
GISq0FCIde1CvwmejcKz0Im0JIep90rzUMa4Q6NDIFuC5aQKbJwLtvFzUabIqIDO4QZN+jqQ5Eim
ZyOgMjFuTxKgkSVu3fzN4+T38dAY31wGSxuFKYT2Y7PLAaZWjy7wC9T2fcxB5jMKEsPcq2Aljklw
Yg6rTmXqXooeg0oAumi66jGTLIFWoqVkXIwqdcYy5BAjl19G4lbdyeoDZB8P0ejOoL0VvR9EajFO
JsyqSJo0yAvmG6u7LctntX7aNkv6yVvWwbiWoc6qmlARy/g0zZ/aLIh6uGms1fm66Aq2g9BMBgiw
p+51maVHhSROpUQPwM/0Z9O4iou7KsMsYm6KTtxlA+X5iWMcSWOrtZzEEA3e1lct76+TLLwC5fcp
0+NTQ2R3AQ1OqZi+McmC+4HvwxDlW3geUZiz8+uhAHZHr3W4jBJJdzP5S06ifZQvO2UJvLxJbgAn
IsgJcW0FAQRGlfBoBmTIuUQNo4hTltATZ4y+WY9+oehAPxO143OvopUY5mDrvd2QZMaadvGwy23b
bcb4bohVL9f+iYgIJodTAMMWriqvjFYmXn6xniPjGnxIkUNpK8xjfdMcQqDlHHEDnZLJUd6To6hi
z92/lVxGTbPptAGIEwj7OjDX56lL+n0HugF5cdTyLR0EPpq/qr8LzIz/0o1kaVUJBeagfJXQz2u/
taW3tDtNdLfywlmakQcKgGkBgoK53A2zNfoFzVcu6CWOk0SucPgfksa8GaJIZCo8b7mWxRw/sCYU
pVzgDExquo9Cbywf+uWArI5PJAcstsAAtv9iHdci6Set7lg9D6s6i6Fem/2b21dS/+/UvQAs141A
t7btOHkWQh/XIAFBZyoqhOeimn7opgz4Wu6S7qwAmBcfqn0dzOVOVT07FELy8XzZWhxjkHlpaVXf
QlyNiMjSj1mkOpL9YKPLaCHXdulX+T+9aQqU5JrLSknWLqOssyqNbiE6mqb9UOJ1gIYVUwQJyXNe
a+2Yi1UrMcPdIY/lluNHKrtydJ+KILx5Fx3Nz4ODD2XDC+53FIn60KzhH0u7vB2q4BHxguDCEYlg
7tKilCq77BqEB1VwjcqOX7eihyJ3oegkKsCfKYYMY+BIKtVxYcNRaBhbVqL3Vp6cRIS6yj24v4Rc
TCYhERbb7QTnZ83zx9I9xyQ6xkj4Tp+t9JTEyoMN8M7t08RdOjSEoqhrEYyyMJFOgZYKO2ixO+n8
0ZB7/c9RLFBMW/0+szWTXMyDRAPE2DQPNonvohQdA2Ep+cH8N7kPoO7a6FFAL6KmMXtkRkM8AgcF
ewQoCye0pNyJ++5UR6L6Gd8YfgnSmdRob02ZmhoQJFd4UlRv/zsvLHCpXBfwWxs2rpARN1kxXrro
wAciQObYwN3pX+JI8AzjNFZihwCKjW1CYw3gHM79KSreqj2gHdmdH4D3ETx401d5AtR+sMuPxVu4
n07FfvbSY+BkJ1EHMNeXr2QzzrWQ2m62Neg402maMIvcKI8xWDbF7kLAJpVmhxGvpW2T59z5QDPE
dDQg/tGWf9FHVBhJhPk2dFxn4KL39AHQXU5TehJ53RbEe3migx0AQGi/pRgZzOFKgQRm5iZBJ6DR
+/qc76Vs2QUpBtmb5dDp/6Ap4NZAAi2ZzevEEHU58PREuxR6jSmsBP4/31hzkcdiTNAzpPc1GMAz
tfCVMSVOn5adi0NUeHIEyMhtnTn+BANpmA5ABwKmEdnmR7XoizlQUBzLAnDykOVznAG9sC2D00gK
0gmNZqV/khuxafZhMVoz71GpMmf9Ph/QlgVp3ZWt2MVJmmc8ryfpHnkp60pB/OGqS/Id6Bpo4DKH
1IlDkGclfw7gRz8JzexABwI4AluIrmZVzicNeg/Gl1E/pWHqgegJqz47gUkETpvjf86EMU61RxlY
rkwIm8IJrUuSMbuq2RiOFM2f20vNuZEgCZVUvGzw+GDPSlEjWUFaxHXNPKRgYET4n8Wx5CmzdKzn
2Ng1GVEcAMb9003l87ZsnpbAcgLhAqpriB0Yx1REgd2hZR0O0IqORQhsoAIJuF40nysSozLHRCnm
pbSgIrp1GzV39D50RtGgJseZn60jPTar+Lgr5h6YjqgUSovpYhbYUr2q03y99LfXjHfm1/tFlV3J
mRMkKltQRrvh3N5aiBprsF9VjSsB13wUcdzyjMMAJDCFa8N0E+veom5p1GyCUn3bDm6tqQABlc3p
tSww/ybrxY84AwNI2QzJi9z0ueDdzVtSdDPaGL/DUDXQuc9V7SbAmfeThHbQpWqcZGm6e6Nray82
itZdlqkXyOMtLQAUDAoBBhIBFtAA2AVDqKfQtgYYxdC/kvbUBwclvIk7wfHmpW4wgfpLFItosJS5
bsQ6/Js+GYGjGIM7l9E3ozPdVA3e0r45ou31a67U4yyLHqo/C/BMYkpZHzvm6bGkZAlD+vQw7vLb
7K7bESf274sdIEkXcC7SMkX7OdwAQMsQoctywoEz0cwpKQazNmNaPDPme0V11eGhax/V9DpHQlxE
ECySxZhPNtTKMrWQFU7jddGbTgP2aX1o/SGJ7pOBgIN1EOwrT+R6W1mH1hpIsCO3iG6y5H5QgJhi
KHdS2bjpgPnDxbKcwZDutx0C75RQmiuggSnIUbGvZTup7Wqk7RY9/pmyKwUvSpx6s4h2mKvbSg7j
RVHFb4dEgxw7GL2bwisLzLvX91K6s1WBj+OKwq2ALnAg5qKR/vzgW1Kf9poBh10C+DoEPScAWOvO
6xrlYOhXtmgUkSuOxsVYQ9yEbLNcYFS58bNE2MthfKgXUwFKHrq95rycb0lOFC+Lg5sqG/8c1gFT
8Bh6AA4x3qwXnTJajQnIeEZwXOV3FNERBH1yvd82D65yKxn076v7IkkLLZBHyJgS67Mb0qsgjl28
CJ8QQB8xpOhokgiInyfSAu8a8HeBw32BUTTkY20vtFt5VJ4lySXhu7Uc2/E5R7lQmCziXVFrYYxH
KXs1iCykolHPTdxo+KEn4BD7yR/9PUNeMxivYuOPO8tBHY0sAbpNkFfEwNr5klZRPMgJFSkpy25S
utPSxbt+NHfbO8eZZYYclQ72yVhIQM2fy1kwkNbWNAhUx94xtacwRtEV6HQYh/DU8AslLmSmJNBg
5qJZPN6iggSANo7iOBjsbG4iJxg6qXDWZVRDJTv28/hFtl578xRaj4UWo7VGEAryvNhPWDwM/lF6
HfpFKzMFUkGYtBLWVInUpx5gF32u+hGGDJtChJXEvXxXstgODnuK0PqUYl319EcEDoccXDguGvRe
mjD246I8qt1UO3JF7mw5fN3eVF6MQYGy0SIJOPeLaj2KaEPby7j4SQasi+CRIKRCs5xDpNAtKkF3
j0gYczaWBVOaiQJhg/ZFwr3aZV6WvNW1P2GccVsv+lNsTLHWi7lsm6UFqAvtyRyUVzX7Dgyjv/h9
lOnRCYxBMcwGndtHKHehXRH8fkvyJyUaPtVc8v5GBEEbEUjYAMLNiKjkRiMlinbAoPcyIG7LVSQI
DzjQNzjR4Jn5jwgWcLKo5FzOUgTv1l0Zu9X1dEz38339Td+ZT6bzvfoXbOF+6be+vZdGRztuK0j3
4GKP0FJMybUtoO+w/iTohjFBLti15M41CmduwVwhmhrkOX/at/x/QpgwATjmmt3QMohGXmrrmGee
utgYStbcfLrLv7Y14lrdShgTyQJKc66NAsLUSXIUYPrpoiCSu2YAkUbLNDCeLmafUWiJLbVBdnMO
0X8HuB8wt2UvStIK7JsvB4ALcAqAk2b3BuSKOKy0S862o3Ev44Xjpxi88BSlFWXHuDtEQLgAR4ug
kX3mSHKSgp0O7o/Ijd+ZpwS8V90/RpU6cvGsBY9/vkUU7gvjDmj4uMAWIgsoKgoLJl/Nbx2SnJIo
CcZbud8CMAZ57hnmerHzzIYAc/xuQYnaOkWiK0Mkgzk5EarcbZFAxmzuSPKgGbcItLfXiXcBrtVg
zk0l9zKqUBAxDtdRAuDbY9V7QgI2kSLMgTHAIqT2GqQ0WrvL63Q3o7Mv7xp/WxnexbN6YbIvd0tS
STdSJ0A50G0nIi8pmotT86sg/25L4ir0O4Vk0WVdxQ0J6WeE1pBUgU3IBBNEbu6zVhDwcdORa32o
vispNYYj52rEsg3x8mDYkjPWuLYjxTP19GVQOi8iHTZuRu0XqEBLNzhFGe+yLLlt6kn0MaLFZSL6
TM7aQqfP9/4k3ZGn+QEczmCxdRTLIXv5GBxmr/CTF/tNxG3PDZzWy8DckLNutOqcYLEnm7yOmNGN
l3KXAfDUKqPTpOsOnNce+BBelP9FC+JZ4oA55RHeuL1Om0XD+GaaPmsAJo4+ANhmQJwoT9s29f/o
aSPvBfxbUEgxejZ1V8417XfEBFdwzGYt3yFn+M3Kw2NSTwjWst5wUyN5Kgk5yfVc7bY/gOOh8XjC
6wl3NGbU2AfpYAeRVqLPyg3LCKfzayxtWJdrjHt9OCUi58ZTF+J0E20LSOmjlnFu3Vk9JsRMkD6w
I+lWVxAXGx1yXrHbgd0sBQzlHJn+LLeOPGeHbU05x/dMNHN8M73p2iaDprlyk1R+Vr8WgUAE57hA
BLpjNZphxlDSuXaFWQXxRBtAkvoh6T1J9xOyC4arThP0Y3F1AWsvZmuQrQSN8LmgYU4VI7awjIN5
UOdTVL4m4/P2cnF1WYmg8dDKD2WSGaZBDBFF7Cf9TQ1IUODlLtOBiAgX6MIzsSIG+34rw6za0oxk
SitsDIDX8/g0Vx9TiNGKz2196EG6kIIRKzoKDupW9iWd5dLQqumCSy9zlMEhbvFd8/trFYS524J4
b2lgkOHVDkxeDOf+xE1arVyK4nRWRtS2b+ZT+DjfxgAclI7hMYe0XlRx5cSla2kXDanggZcjSUaN
7DraJ9fVdbSLb+xreRful72xb4T0olyBGNsnlMcS3UeMx7LSookWC+oRMKgOqD92o+AY8awbG/Qf
CRedC6kak0npIUGW7gfwYrfHPPD+ZpNWMpgwywa7yBgMkDE/LN58mwEP5Efjz7vgLfqQdn/x3lOB
ewcAJTg/ijh0fpiA9qcOCy1Nh7k8oUkS2PwIw3NnWyneQVpJYTP9VtVrcjXiAdHr3zrdzdWrInnr
lv22FN6NsZbCrJwe5L0UxdAlIcBQB0vVdJUlOyl5I9ptsTxsC+OZAkXpQKabUhmwZ8nuAZMB6CJ0
kc+Nipyb2TrjUkW+hYFWwerxRNkwZ4XSFAMJj3F4laYsIB6DGyrTA8q7c/LRizqPeRtkEzo1hml6
DQO352ZQTeOgt8WA/pXoR6N5drGLW8wYi8BaeK0CgAv6JYc1hBDzw+qItjZgBfrKLvTBsoSk2r0R
+JkvXVeith/uyq3EMRZRpXFuNACvdOUWrfAVQFdpm7jgxIqEMI8W0pFBjRt6H41P9XjI2sckPP65
sa2XjblVpTIL7Rhdzq5iQAFwr6kR5vQFZsZznwj10PoFg0ZfMbNYUo+HPaI+Wm4fvXbprmZZ1LrE
O6EosiN9ZQGFHn703MwMOxpyFUjibgSynSqY3HIu9yoyt0lJHvTo09ZywcrxggVARtO5J6BRgMjh
XGKHh94Y0pRCPQHpfqgdVXo0stAxZsmJDQHghkgYYwm1hta2TKEvvsIvgSg4T6d2SXazAtqd3bZF
0JVig4a1XoxF0FZAO6UTssN0KwNuG7y/TpD4ee61QYfJlnsJT85tkVw7Xy0l44aaMR3mocP7D323
p7Qg3zpgb2h6JOp74RkJbARFKLCVobWdMZJhwVM8lHBZTOiNVtPX2nolaDW3jkp8CCLBQ5K/jr+E
scnIssvn0lIhrAqjw5gVmNXvD+DmPcZ64UjW8o9qTr1jS7JoupDrcX9rySKYRHIymgmdYCkN2+nr
lylUnSW+AW2MYNsu6eYBbLtaT5Wxyj6A0x2oiqNafY8UvXHk1sBdMl9b1eTnsuYlcnQ32e+yGXil
/YKQbZ+0qtOZ451aPYeTjpJq7MigxP0Lg6KkBkAVRh7uoilTkzKtsnA2JzM8tC3igrj7t14aQVjA
PZWoM/ykc6EEv+cuQGnRaK9JuKlN+bkNnjrtrin2y49wfvsLdVSEvAqF9b9AZBhJPUj1Av+ZJro7
I/1BLEyui1qVuNqsggFGmzpr86jWIUU20wd8i5uCBTcA5lmeladOEcUe/Bt7JY+xnqVcFrgy3G5I
4qhOI/9Yoo9yyl2513eoet4syvwcyC9W27hmJmI34h6SlXDGy6WTNGRpiHtPlbMr23jK5eApjZad
hZX9880DhQve/jgqMtBBzo0kzNM+0EpIKutrsJU19XUk4izjphjQkAlLpJDTADQ+lxFXKHtYk4zb
z/7q5+cwshywmGFC+7aHwUyJoyZPNvA2tzXjXetrqdSgVo8+PHBnAoJGeDjQbnWya2I6YlsCZ5eg
EFJEaA8HdzrbIFWjfQGbhAOmT+pLquHxFWvhZz8ZaFfqRH1sHPtHw6WuoBih4N3CXujjbC5m18L+
JeUHcBA8c06PUjF7ttE6WvK1rRnnyjsTxhi/NYWKGo0QlmenfmpwCTnjKKhPcldvpRBj4yB1XDRl
QGpmQZPXor6o2WOKWfZI+rGtC+emO9OFub7HVpLbCv/cWJ1eABWwszr0G5Haa2xyM/faCwiVfDMR
mZ9oCenfV+ZnLioZRjphJaHIa6KhJC8B537c1o1j42e6MSfLtvtQqRroFgIGJbdrZ+xEfXEiPZhj
1KNha8pC6JFM2hVmczBdRKBIJvBDnODnTBP699VyReDfLEE9Dmuw9mZ3bXe7qVHpeXKMLndLgU3w
1w1otYCHRnzMPvu6XMkN0sK5A67W09qrOhblnH5O3jOBKhT6JYJ98WWVBFZlCSKMnXbAGKuvu5NT
XEkvt/Ld+B5eo2/5Gf03N9U+8NPGST/zf1PRR/AusbOPYC5No21sOgKCzFDk9KNDlOvJcIE5ZYF6
BYgEveKiNGuKxPJd1W/VGe8RkUHqlBJSs9pwWu0hz9+r6XqIJiecBE5EsJEW40S0KU7bmqZdTRBu
jfPelkRPd777+K0M/YKVYZYSIB1aQiXgpWGPzhT6Y7LPU0qIBtqX/ShiShGtHuM4YpQxpyWHQBBd
YKp1We7jMXX72Bu1j23vwT/av1VjvMdYkLzJZUgC6cvcI6unOIUiyobS2szWOWD8R60XbdfHCDDk
Gd3Rnhm/NcVHhxnaQf4oEm9WnUGEGicyCsaXYEwTEww69NKU1z74EKYqRevGxExKPYDXaMLvdyT6
Ls3jAViPb11l7La3hxc3rU+vzZS9OhDGDQs17irUMZS4A0pcGwKFF2De0Y1ZeIV6MkSQfrxq55lQ
xmXEjTnlvQlHDEO3j7EvV45yKK7iI/yHrrr1nfQMH1J03ray3GgAUOVAzzfQ7H2Zw0bkE6gQa4+h
F+fyUUOiwpK+LAwNbUviWscvSRe57EaJ5bzvIWluMHHZlE7V/s25WklglrC0rL6X6V3WAHPdGr5A
uhqK0Ny49+VKButj7bpNGg22YWTvJnlawlu0JkwZcPM1dJALlozrkihhkYUpB4OwNUJFGq0ao+84
w+qDpqBaY3tTe93Hd5W0394c7tFaSWJckkySvk916i3aR9nwDNknlcgj8Q3gtzaMR9JCNS6XEdqM
EgKmwZe0zi9UX6k6p1bcshnB3AhmELRbvqb5ezm4Yy842aIvYBwUAFwRW3fQsi1/mNoX5l62V5F7
Z61WkXFQS0aWIJ+ohsVrOD4SBYR+90GPg+vlLdjjKtFIg8BACOOpjKUI9AIc6W4IIEtLdoPFHUPg
JkbuICpFiUQxh8scG3XpFWqLSBxJdL++xfO3IT0ZIpxqkSTmiGmYoxutlkoaJTRKX8VS5CqtY05f
k6i5guv9APePfmkgCCMBeB5k1MsMCHBaHpDtN6kDnZ352Rn3ragdnHu6VmLY06XGWRvSTM1ifcfU
2jBem4Egr8g17ZUI5nB19qD0Fn05jvZT1P0768dt0xapwBwdI6lNALdjpdQCBFJp6Mn9Xgv+/e+E
MOdn1mt7HOg6qYMJ4s8coBx7Lfz2Xwlhb/e8aZIOeQK8S3EPJaq/SIZjxSIMS8F6sWmDZtASvaVp
LMV6ifSPONxnIgC+n4nUixDv957bzEEBZ2WdpVQTS3HIAQCzxt2Heg9ep3vltvaSN4CZelnn6F57
/RJ2IHh26itJ4FK5h3X1DcxDoLbRgWzTmA/gG64xvMZD7TbldRpfK5g03t45rntdyaJnYPUkkGI1
Sq0assLqewAW06XOXuVE8/pR9jtCvLrOd4aZv29LFS4z4ySioCwUXI8IO3fKtYJBY2fZgZvr39xN
Rs88LvvyOrhq/OJV3j2En+3pdVs+N+JYac04j65TzGyhb+Zw/NCrFwlkEENj7jJFQYHJtJ0iTWPB
QtOf3DIsxpmU0RCMNg1yugoESpFDAh/YhI4kmtwSHRLGqVhm0SgTVU2djzaIKcc3IaWLSATjUrpm
0WXc+bBPsrOmxyL7FI42/ASZ2Vgu9haeAQRYkgVqJNetW+6Vx9hBm9w9gtBm8cIbY18obvWm7oLH
5M18k53xoN72LvFetH3u5aIsgEBjtvxQF7Y09+HPzXvO+nvSPuqx4LLhi8DECC1z4u3A2EeXaWMt
0xMxL70TJYc0eMGE77bZ8x3LbxmMbfSmGkyKDRlxNr/EeefEk75Lp8CpqvK90EV9KdxThoYUwDkC
5h/5qXPfUjdgxss1BB0WxpiAkumQfjc0sVdXpyg5yqIaPj9DhMK3jvZsDH2xY0a5WbT5lM/I9D62
r+jQhonE1xjsM5z8Xr9tRUU57oleiWOuiibA/OlsQb1Yftfnk10fo9LN7eP2nvHgrcAj9lsr5jYA
HkZhjyW0kg72w+zLN/FJK73srfpoHOWY7JNTem+4gb8tlmuOK6nMvWCkGbpMCkjttGv0M8rTWyQJ
NKNu4uKIY2pQQQEA4PHsS2xsMtXMQxQ1Mownywcl9VtgBKuT14Z73ZqcJX37C51WAhmv3/SqlGoS
dMrsWb02ERK7QW+gGUeeRWBd3OVbiWJO82JXaTIt6AfsSfqwFJEbh9ZVNgnmvLkWuJLCnGcVR7cN
e0gxs72tgX/hPpdvDdEgDA8NFg28vzeK9fcmGGgmQpsbl9DDxHomN44Z3daVP5WvoIa04yuM1cXB
1dA+zglgh3bkr97SFp3BBCYZxcY+dyWjDmDs0aQFMFSmtOnamD9MkXfk2uNKBrOaGloVdAM1CPpe
jzQvzz+t7nu3+Erwo9b9WgRJwN28lThmVVsp7OQmgEq6/s2YvxT12SRXwsQb9w0Dbj6gj+koubGo
wfacGWVB966dJ3eoP6NAYINcS18JYFZt1CM9riwIaLp9mp8A8SckNeTdI0gPAfOYXl2ozJ9vPtAH
pMgO4Wi1uSweq6g7EQP9OEufGKcOY3S3oQzSIlVv88O2w+BtEbBSbPQIAtvDuECImYrJIMUEh2E+
WtYDuhAn9SoVZVB4K6iBG0QDHAv6edleGbBQSlUdafR4qV4AzL3QWEAPr+23leFYAvocMZyNQg7S
Xmx5oQUzgBTbRubKmH4HfFogO8D1/GNiGJTedcCnGSAtAGfLzzt69Z5oYvSCoI0rd5VMRonhWSs6
NzQeJV1zF01gehfbA1mg8wQnM22GhnGc20Uc5AOZMx1wIfaTGfwrKV6+3PfT6/a68aSAexLLBvcD
6gS6fSuNZmMEQn5poFsinB4S7RM1xJuqsIGMvgjCM4Ua8tmNCIUAyAMeMSBaws4ZQ6918IYWFkQ1
AAeZ+tOgHYL0QMqDpF8phjstvmmC6298T6wrRG9/ricwCsBhZmCOH23/53qSHnPb1ZAXwHwp3cja
W/YRc/FODAy0bUEXhggtAZuJIA1pPbSXMGGhrYGGgswQhEjXBQvT7RTqD38jAqPdOE0ggmNtXS3l
JtIxTwlCiPBYtSO6GYbqa1sGzy5oissCZzYEsaPlYQQEPJAoFOC5+7Snh8p6b0BGIv8xbDFWC1si
w/Jg6QCLPd+WsE/SkZgNVku/Kmtyk+uWh3YowZ5c+CBGCuPFyTiMmhJDSlOhrypugPGl/8iL/P4v
1kylUFiY24U3Yu68LjYSUg4QE5rfYuCvZ4FTt56wv+ryJUDV+SVHZUcpK7MrjWSEnKxoPaneL9MH
2OeXSHUiE1QH5LZskLpxM9GwycVNxchlTFutSRYOAZWrdz7qt24xECfJbH+YdEfXHuVCcv94RQGq
oBigVkWbPyatzs2jmIIYpJnAWoTvAj5M6cTd6ATaayCqTnPM/UwQ8yAwkTFWtBmCWi3Ln6xYU48A
cymv5qb6SAG/IdCLs5IEhOoGkIottHSxaF69hGYuRYOTaKv0FZNpXhf2vYPipJPIxY2WW06ACt6f
ryWATA0M8KCXQreY3UstBQgRSV+42mRiTG1whsgjBVDR6j8dsALPNYySYmHQa4Xlbo+HsaltC67D
kMjJzovIMZXJKTVL1IbL2zRwkGJSCBGgjlDm3DrILFfDmEKjGYxmMTg2yIMGJMFGE6wc7+bCLNJv
QcwlOQURyL1zCAqWwktT0EyPu9bywfJYmSeQGU2AIKglr0WrQb9cxZqgdYLjvsAYgXIrXikmHD7j
VwrAHdAGrMIl/0Pal/XI6TvRfiIksxpeWXrv2fcXNDOZsBswZv309xDd+083jRrldx8SRRNpirLL
5XIt5yD5LEsghe41T1byh+sGMvrayf18Kmaa5va1Wk6lFGKCMHQ0/6NVy0eN5K5Q5E1eLFnJrLTx
hsTkJCiUpqCIUVd2UmsOUAr7RYp8T7SvKPoJmsoN06Wx/ZlLGXAUmPUb2c40bWopslQRwCJBNTVi
d1KmHmj5eX3xZvfoRMLEgZSk50FmQQKNG3B/NvYgiweglK2ui5lVBGxnaMu2YBHT8QQRsT5rACfp
VGZwT2j3qEZLRdfx1FyYgQVMVbByKhbwjM5PVR7hx1muw9g7/8HPB8xIP9FscLXCNh8Z8wAGRrUj
/SFADmKZWF9XcO5MA1ESAARj7KFMs1xMq0pf74H2Epu3scExsfId1Z5PhoUzPeeB1REGGWqaQPuY
HGmuZ62sRDLkqPSIhIbb5YbtgzjOstJ1Y8p2lC3dMZe5LjhGwHGi8xoLSwGbeb6yKWDHWatpDIO7
6iu4ybYGIJk/aKruC6EfWV0ZzqCFTwanD1HbtbaehPKWay3Z+Vm51TWurgpRZnYgq8/XV32UPN1z
QEwg1sPoLeiyJnvOCx2cOL2P0LyVbbVyMCoWlCvAFvn6yC37VIcLdjy3zYDQUOno0dD8P437MJkd
GTxgDlMC26+/QHTIisGJkoVtnlXsRM4k8jNLGkpmLmWO3zyL7q5hW6KjbKBvCusoF6ui/Q93H2aT
MDk0nh4ku8+3OILxSn4bIjQHJ5zWZo4EgJiKywtqzXmbUzHj8p682jQh4koG8jlape9amtsCqSvT
erpuFHNHBJhW2KbRXpUpb4UZVVlm1REDX/mNHx4zDuAAurHISjAvXGLJmNXoRNhko0LC8ypLY3gd
jdhluVeidYUprOsaXUIqjieQQikViXu0lk1joDQ32xKQdcCQHykVVbs1NNtoOPqmu3ir5P5KbzF9
IpW1rceJI7PvTGdHpAdXDRKrTdnapf5bL5eq/XNWinCSKpaOu0nRJ1YDN++3cYgHHRPUFeBTCuTf
SVGtc/mZDY6UH4vMvb4Sc8tNdVVD6seywLk1OfAFlQQGQVLsbZnFm5KkmpOoYXfM1XQJQX9WFNYd
0buFCd7plaXBjnxmQbmcD0er97HU5Mmg7eN1jS7b4SCDQgpyTeBkRKB7fiaQgzIyMr6KBlADg+P2
uRHRsWp+ev+X2rZbMxShrdfE0bX2UY46TwdekCspBFiPtbzw4JwLbk6PzsTTJ1VQVRIua3SurSRa
OwyV1zA/iOhZaf6LJ/17cKYQ6GCxI20aQFQgvxfmpkvuufJULgH7z/rrEymTg2NYbQJSLEixzK1V
vPbFbSPZTbtw+c+dg3GIFA4HjyNUTc63UAvSJo4yvMICFVxz9Q8Brz2k0Qqtf1K0klXimP1SIDpn
n+P0iQUEPbxXpkchinMl4xSeB1G8Z6WlHXP0Uy6NL/8p6U6v2FMxkwBRyOjuBtkUcyRdoc91ojfF
xq8iEXuNTvtHDbVLfwXcD6bb6DuqM7eQreYTvqp1e0sOUGY0m1RyEBLI+YMJIqaXrpaj2Jb8yqJu
KXGYWh+2+d7iOf3K+sF6aAyeFsgEyOZj7MfWfWegh7zJ/Oq9xG+J7Rjspm9pCVoLEeZBsgokrRG2
AvQz1GhFUjT3vEWmy8WhrTAAG5fAN1FUkqzasFOZ17atVq1olRqYKx9Ut+K0uCv8cgDaf5zy1K4L
QR3a6cWqxGRAFgg0BlRazlK7C+vCsvuyLW8sLuTBNoyO/ZKAs//Wk0REdkRLEtnopsWrqtMGhNRV
GdSOFheKsUsaqroKDchjWzZdfKy13riTw8zqPLTqtaBq65T0FlAItasUamDYoYYSkpYC+ArNCcR/
CQuro8cwU8CTFbcqvZV5xrdhwOmqixtEB71WxGStMQtIv1Yf0+c2LtEPU9dNupa5yFeZZhZsFVui
yh0l0tp9E1Tdp0/CuHbaTiqAiagU6YLTnjuEpyY08XB8aAdAOON4ZGhwr/yb2n+gSPqYycLFf9nO
DFdqYXYXuAF4vwON4/wcVjHRQnlMMPbdLcs3mDOLyaovnzHQaxfx3qdbVdpcd9+zp/BE5CSi6cym
okxCRoSHmVMoZYj0RHEfFMP7dTmza4gZMAJsQmAHTmNwqyqHhqWQIzq+aUNtnZfxc6waD0XdLmzX
/DL+lfXn/0+itK5nYMEYU8GDsZHNL9LfCy1yevNTK7xh8KoEvENLqHEzjwwklvDWRWP7GElM28gS
Ugc8qgD2lFrHoLzL2yPvvoPwE2z2sb7qcWCjJ5xzGwVpBX20ueJGyZtIv64v86UnP/8K5dyCWpmb
vgjxFQ2YojASyfvEZaRz/NBti9cwcqJq4d16aUCQiCoWwIjHoeyp3kxHSToKBQPgk+4UpbTSInPb
+ktiZpKvkINIDTjEhqHgH+ea+W1jFOmQ4yZsjUfNAmcFODs2IrR2hhqB2E9JWidU8cgTEd9GOVA8
gWdgLpjWZXyBgiECHeS9gDyL1NT5RwxmYhXRmImNquqIWDZc+5lZu6LHUI019MjG6qHy715h1NwY
J94ROeMDzoX6cpdmcgKhWfkSWT9J2Nsqx05K71L22fQ36Droh6W6zey2ngjVzoWSzE8DrsGQOn3Y
xLLxJsJ6lfNFNtOL4RcgTyGpAshNJO9RdZsoR0aQ5xwAI0BmwQBgdsOtpwzRRnZrAoyce1l1zEBL
e/2QXPqiUSbKiOOS4u6dBFXA9autmsNkq+yHVwkgJm58v7eZ9HNdzuwansiZHEbfsvI+pdCNV7s8
/RIZ6Efur4sYt+E8ujlXZbJ8HAB/upxBFcHvB5LbHQAfrktYWqyJIZhKRcG5DiUS0K3iptgmkXlP
MXOt1EslvFnndbJe43qe+O2sMGOUWKAMM28l+kuqDHvoMObi2758aGXfroTyH7TDiTIxcw1kN6BD
nYu01LLuWhMZZkVogOW77aMb1kQrdakDeM4UTuRMZx3bsFJ7EkJOKLO9ITMAi6buAPLJ65u1JGZq
2V3aaDWBmBodoFZremHG3SKrFrItl3BhOLXwRNQAoP44Fz+R02LSJSImsq5F1A4oorS+tlIwxNaD
xVmo2TEBuMqqMEvpJiJR46m8Zx9mmzV7pRrhsVveL3Ucz2lOMRuFnYRfvoCxKxqrsCKSggzDAAIh
z9LKCcrW9+pC/vkPa3yi++RUU5VreCZAd9NvHnNf/lVRzaX543Upc2fhdIUnB1tm1VD0PnaStq8W
mnvlXHb88h7dDiGYIM3kDWX76xLnVhB46hieB9ocArWJxKCIkiJUkOKOItNfxSXRd7naJKhtpkvQ
EXNeC7AbKtpFcJEi2D0/dcC5FUE+iqpr9cD9/C5ihnNdm5kgEB2igCqCnQJrH8RE5zJCP4nFQFDn
KIHSEnB0+WwUshHNCrNMsnWnGKEt6oVu2zlfOXb2ILEDMwR6yblMSbIAuNMhua13IAqRhZMO/TbT
NM9gYmG3LpOEUA9pel0dcXcu6DRpYpV8iBSGimJmD5I7NIEtG+9cObJ2x/jz9dWcVexE2iRLSLNW
DFkGaSHSxiYYdYhAXqWy86V+5VnPghsZkbSFKM/QJw5ZGjjgW0e9ep0AuUGsVCtzo7qyRSU5MZXd
tn+12tTpy+7op3Tlx/2C5czpig9AGhkw06P1nG9iluUFGFFw4YV4ZfvZd22GbkZKdBZHC3s4d8Yp
oCoABj5CZ09nmiQGSDdLynLUF9XmjfRDy0HIIFMgiVaa+ZkbfXWrR0ErHAnlSTwHESP+h08wUZfW
4DrRXDW12GgwTJZF0tjSctuY7WqE2geNkHlQ423bRTalfOHGnTPckQUT+Nq4EFGVOV9e0wg6uUoj
AK6ZnwNaqaW7rNLsCr3ctHODammWdSZix17iXTLaFMp3k91UQOeeYXQM2YLaLPdlr5lAiOUhptS1
OPJUZEHWQpiVv6Dl7HOFGngogKRthlRQjxoomlBkX5lvq2q7juTH0rI79qH3t1FyW2i3hrEeSrG6
flLH5ZsGhGhmHVcW/odMkZNkk9Za0BoICKVPSQOaIrIjLFh4883kfGVES4CGRPEKjM/TPgqD+5mi
Z9hEqoQ2B8VVftfF90aGnNo6NDakOijKaog0p0UsJb9nZCHOmSko/KnkoelwfHETYzzEJ6FiPsgk
sSTCHbKuHoD+6zV7eW9sma1t/EPj1C5xyZ5ulYd/Xd1RLFpHkBBEU9v05dAGPthbVI07UWm+olNw
I+fG0QwXOXfHi+J8F8/lTGIMWc/NkgP9d2SDfK7K56i2tkafusCXxkX22g3SWmnqxypqvaCt7AJg
xOjJfb6u7KV7Ov+IyW2m0UyOWqJykFGpt7WPbnOt8uJUOwBmF72ypoeajZtD/HWxlxZ8Lnby4GgS
Re+0EmITriLiV0HZTr1FivYl5SZuCCkDETQWpPDUMaFG96zCVNW33v9MQQIE6I/rWl3eKudaTQyW
5EZShogdHa55oe8aocOsV9Iv2OesFB39vmCkUwEbPNkyloYE3q5D+V49kG6tg/q6Pqry23VdLlv3
ESYCgu9/YiZb1A+YlMlGMdpxeKO1rX7FxEasvxOvxlbcFw8GgpGfpcGfGZ8KseOrHS0KY2PuJGzE
sENFlXENo/yFa2gi3fHf1HCpctvkNk3drkG2bXNd18v741zmJPIJRKXSvoBMuVsl8e9OrwGi8mrF
N2IRAvXyZkSP7tjCpeJyBCTdRL08FDTjFQ69bh45O9bhkWu3onhRh/tmqaF6zlBOZU3UwszKAEJG
yNLSEBG+V/guaOdsqd1eX74lnSbXbyRrUW6EoyOrUy/vUAfIf0WGsooZ6AgYkHVq07sucUGzKXvR
AEzPkgfjKha3efBDm+doiG1r6QaaswuEZwSY8Ej3Yg7i/ALiLMXMO9UhBoSAZnpjtLtBb2xf7JVi
fV2jOYd4KmqyV52WdnltQFQSb/38k9CtHvz8/4mYbBPLC61E9wwHJVmHusqdVHyXeMJcFzK7M3+X
bJoDsSotyXyATDpaVANlnjCOlmMdHT++adzKlr9EGTJreyNisQzkfh2dzudbBIQWkysGepkAPvcy
xHGAekDn8rbfE0Bn95X6alj/3uyJM4wsLZ4uiIouAgQL9ZuAtz4HFC9HxyIuEuH0oZtqj/9hLQEm
iQgT/Z4XLc9BLnMwmlPuWKzdpkhhoswwcmQV/YLxjYs0jUTgzfE8QIcEcHkn92SEGamqGrCIZfNZ
FXt0eNhqvu4Sr+EuapHyEjLR7Lk6kTca0UlglxUsaJUO8pRhk4PjSXED8U7lIysWIGj+vOMuNINt
GJjAMPBcn55gJWrh2bGE7dG6QS5Cfk02xSY68h0IjJxKsoNtcOd7/o9Vb5KvpWn82csMLfj/Ez85
1WoVVsQaxTer/AZM0ejyZ1/pXlpHbrXByOe/2gsyLaDMAIo3Gor06VMTbGByKiIQfObyGh20rTj6
gJBXtv9BClj/MMQJvcChNdk8LdGVfkDqrYw3nX4wgmfeLbOKXwLHIbrB4xE40XjgXI429S2IS7MG
7XL9DlDNnoK/q7W8V2+UnbUSgZ2vK9UmSGHZ4Y5uI1ernD3mgxceQZeWiq8wQQEIokNCMZh0riwS
GHEm1/jdKXdDjFbJdlaswvyu4AuWeun/zwVNjkRrBiEKjlC3U78Dyc4al1Zf1zfuz8eeH4ZzGZPD
YDTEFFICZci9OJSOsTVX6rrBsoLlZFODlyF0Ci9ZAxTPltzY07dkbXracel9NRNZjlSfaM0fJ1PG
h/P5omr94LekQ+0neOHfhifX9nBrrANb+qEe28Sv+lHe9Qtt3jNt5udCJ0cx0q0uUkah4hud5S61
hw0/gMp5W62kD37Tb64v9tx+nuo4uZdkMwH5RQNxcX+o5N9G850vdSwsreM0CqoLRSmrATJeiq15
pHZ2DwI4YvuHV2sXPYqjfFwoRC0oNZ3K76w6EWCyq0aAiFjfqmQtLUV2l1fR2TbpyrltgG6W+n4K
EfRRfUX46BZ29MTWdMEc/gB7T8/Cyf7ok0dURwYR1/24P1tgn8kH8L7Lq3SlPeEsePm2X9WbZ9Nj
NoBibD9aLSEdKZdxy7mek9dVYAS+Vo3m2Hq+Ex60G7GK3zMPr6t999BsBM4gxVkk22h787u7U24V
d/CiLx+GugRrtrgWEyeXExarPvJjOI+1p7rhIV4xUHutLC85xF/VW/EireObx/DYOvF66e01k+U5
X4mJ58M8rq4n4070O8Pz1yaSk3uwQ2xk+we0NOZ38i7dm5slxIdxfaf7j1LSeLtgAOqC3bWQyp4I
2eQOjcg6FdmeB/kCHcDcaTkVMfE4gRqTbughopWaTVEEmwinpazZQp1u7orC5URGJLdxjmViyVRN
BeqpiEbzVv9Mwgz5lIyi2TTUH9pWmCumKwsXydwZpRpafdHfD8SMaZeG1vumUvrjew8J3TS4GSxj
3TReOGzBc2gLbmfJguO5fFXg9v0rccol5Jc66etmfB3lL0EO7tYy+miYfxiMZimXPHcwR+YBywDn
MHgqJpcTMshJ5I8PCkwM7ZNAPBgZAH2k0njqWv+hJo2LlP3z9cti9gycCp2YCgZoSkCQIk6kwXCH
LjvXyMxvMx4ci370lDpJEK16jqOR99K9kVc3GJNcE/pMUt+1wIfGdLoqkuDh+mfNWBay9xiGVMaZ
tovnb64H3BziqMKjA404xxjk3LRwDTzowYZ8XdRMpIzcPepcSPnIoH6YPkF4jhgsLxC7hrHvxMO3
VUiu3BR2EfWrCA97quYyJmTBLpgPD0yPF+TPntWTXZ9c1yVDH7WfYQNkMaz8mt+MsIF5WC5s9Kxx
QRMDdVE8HqfPEbRr17XZwSVk3Ych0EnUBw6JwUxwB/6yii4hs89sIBnJdlBiwzgzKJ7OL1OARAwk
NqFVmr0Lla1MubzPht+swVCMvnSlzep2Imxyc5eWEdCygTC/yjyTJZukQjnNMcJ9JbYy6mvXLWZ2
x07ETdweRyOezjmWcvDR9d60XqwTp4ukhQfAklaTe7qWDCI1PtxBB5JQSf0MI1cin3L82ph7uoTR
PuvmTnQadT55Fzedxa2owhLmqWIjXHVL8Svo2DbFXNL11VuSNLl0K4nxiIwvfoP9zhOvlhQ7qZ6Y
+e8dG3DccKIyIB1Q/5wW6AEZoNFYtpBZUDUbbX83Ao0bYZVsrqsze5ufiJnsEsAQ8RwucAcWIiGu
n0fypm8D1bsuZd4W/ioz2R4WaaQyayhjVAeT0JVK35p2W4i1IWEk6f26sPkdwsSYiXZavIUnZ1fv
2GD5EuxbmJIjgXyFYm5MLakdMmUhUJnVCwViVGvRHYVH/bnZlUYnq76B1VPQ8s6NB7V8peCSHvKH
BDhY8lKz2ZxXQloafZ7AJEDxdLqMKurReghXz7huJ/yG16GdF/d988a1f4b5QMOXjBwd2q0xBzdt
SGYaQvyYIVeRB7IOnL4AcbQSR2tW6HdpEIun63s2Z4aAFUGRf+ytAaL4+UI2LM+1TADkWOXgYlKC
mz7oVtdFIPGHXzKJXEEfAiAWDTkJQ58yB8W5mfV6klSOieTWTo/j8J0GfeLJokXTUKokyRPzpdYj
apBvpUjNvkVuGk6j+vljU5jhk49O1vugH9m1mSQApx3pSOSY0qFVeXNTC7llNoqTWKZCTUqgvGbV
W5J2qqNXcvGmENB4OZ1cSI5v5t0XkST9ocJM+g1PLVAPl1m4kZug+4lqI1NvOl8LtwEd47R0IMZv
oxN55appqGyLoZO8NhjS7UBCmrnCSnR/ryVhfNAL1BNsILLpxNYbAXDJvusN6hJJYy04lHNLWaO1
BFOz/pBpoRfLhcrsitAKz4g2bL2UGI2Hl2Tzu6k7q7JDGqMvGrDKlur47cC2vax2+1iWskOVZu2T
CQLOl0oqnxVVvYOoZtPlDDP1PRmGxhbUAjxbqGRoOvMVdYUp/PSjpsJ0BrlIH2rURzdBZcnoP1ea
0GYdKsbgF4h44WlGAtbaPiPGWtNTFQwbJN7KKYCWU3mcclc7uoMlSR5reLWVeFPu9KYxtz1m5hvU
HLoQYxdSLb4Tv5aDnZYOqYOvLswdF0aUe6XGKeC7wk5xsgFLbiNk8+EvGCnBWsKTwhZqXzxqPIoR
vCa4vTBv/5IVvLeFZFmrrgFCF/jCDbBcaRX56DCQUdt1mvcgcbaCrnJkjLes0B8Qg0StaILHeqiE
+ZimXd07jc6UV9aKbFNoXSE7xpBhgEWW+1+EBuAk4nJReJmUNM+9hT1zZeYbORoiNMhUuB6+alJS
mjstKK0nRN7Zphd1pfh2VvojtRA6h2wTrTXmhsm1OHRKQdmuQnlBc3v83GMlCXM7t0xft4EWBCi2
nFl0sOuoQIZHbfNmVTOmvUQZKGOdKmVsJ2WEbAo/4ZuuBC6OyQd0vGKSR8OzKVFACJEE/pPeqLLb
dEQca1V0qxCebFeFrNz4krAOaptGCmQHSexSIoKNSNv4AT35w1ZtUVBFP2ske7kPtFytGwKbF1bT
24GuA9K9SGmzbXiCZpwu6mR3xB74rUZNENtVEyG8aBRgKqKrxD+okpQ+Epq3PwCzjLzeGpL7vs3F
xkRT2k8odQX6W2Jz2Ccs9t0s0NX7spIlJ8qQB7dV6LzSyyYhaBwL+Afm5yPFBgd98K7EMWpZRVSY
7Z3PWLbjfgqkHpOI9F5rK+tRKGVwl6msf2/7qqcrkqjWSGnts81ApeoQyinFBYiuJS8TiXHfFCmp
3daUUvkgSFo86JJge0Uy4t+5juAJE0wWyoCaVrUe5mpryzYSs2kfRcvScfJJ7IyB9q6eZQDlxhBC
v3Bvz4xt4GGMgX6VYsIHjUKTWLG1aKabVQbfgHPhSgP6kkBh1VPLtQzq4dZ71ssfLeWYI4T3rO1k
99UHucvyo066r+sOfKb57fxjJrFKRUhRBcl4J4GHUGueAJXjxvSj61R3qIPfefldBvoh9BGOCcBs
LjZLzT61Tldjcv+mspSarBsT+G28i4G6XpcgUagUh2fgV/DljQYEGiNFQxzKuRjHfl1YgPEWnF5g
2AxkK6yxveai+08qY4VauMAM/pWE6MiuwpXKqo86fc0JJvN5k6NzOg/ctADWbdEtXNIzgRVGWMeC
P8bjMXw9UV9DQ1eX0hLiRXmrYzweR2XXsB1DxXpB08u5h3Fa9q+o8VNO4vlcqgcqal45QGlzI8sj
cekhv2lzAs72FyNad+GuVhZi4ZloDu2G4+sSvY0agu5zoQnGjX2U8xBe4R7Uh/YFI5GbYSCmbTHq
FDx5kPrP64rORHQY+Ab2B7FQLFG1SdwTBpI0pDVERlXktCDkDkBQKklbP3VEvL4uaybGklUExeAz
R1QP1rFz9RoWVlqh9kgUqN/oSbfpP1NwoKB7KmBc35NNgxtEP6EJAbUoIzBKadkNa/23NE56vJbS
0r2uz2hu09OAyaqRMPBPzW6yXRqg3DWuD9iu5pG3L2H8GhgLGcLZJfsrwpjQEoQ9gEulFiI6tXON
DqhZSxyLC0pMA1/mD4DYVCCh5l9ms6np83+oUY+g2yCWR4UTZeo/KbSTbVGBC98niYzYOgoz26xx
1wNmQJLlN6YUYFUS9wOoSEEpsdTRMHee0OeNeicgAzH7N9mgRE0BhUSUymlADORnXyTzELNJIWYM
06eOLOQbZq8H3FOa9ifxZkyPr5R1vYQ5FbinD+ZiFCa95a/yDaKobf6rFHa/IG/OG2JCCng3ANPF
UPjkOLG6rCt1vBoT+anMvXT4kui+W/KEc1IwbICuedAfwu1PpNQhHnxEhX3E7LbiTu93dqkihPj3
BjzgHZ/ImZxdvbBEGyUE2mShTXK6qYb0kCNQTRlZKNjOHSpgupiItsaTO2086STe6nEIs0C4cUjN
4dAnS5587lQBlQr31PhcxoPy3BP1DdEQKsAUMLsd2I3BMIregaKNKSi9X/dCf16NUzeEThicK/Sk
YXZ3snJ4bpSSnlmISrzuDQ8ftPnuxboEXduwL1aRYzz6K+rRZ9Tf7T63+Y4tJCFmlT35gMkxay2e
pCkdPyCtAC6+Y+wnGRZ87VyeHd32/09LTI6cr6gFfJIuGSBE2iDsL71j5omvyvHX6crY5t/+U3XX
vvKPJXbRueIz5AI2A3NLSIVN87461WrOJNS4Km5/DBuKIf6PUHaC7WNJbGWTJc5i68loHJcb+lfk
ZEPVYBjaxIeqxGm28iaoXeOuwQCrJzvSu7HRHuKdciPdkc1SBXc22h4hH5DbAyK9NS1IKXrRh6rw
Mdq57g7KM1JIsRut/Q36CtaKjYaN6JGv2/3LdQuePY8nUsf/P7kfejmtSyuWsLXdXUJ021cW5n5G
A7xc0L9qjQZ8ImAwG7yNAwjgB6DuNfv4N3uJVhamtn5d12T2CjhdwEnYyJhRJZGGBcxAiHgj3tgh
8iQ0Vq70tbUDVPLrdXnzJ++vYhM3E4RB1AigUDgBmvWAxW9rgOJJ26frUmbGCYAEfrJBE4PE+7ig
cgMxws1udJs4pfeGsSay9R/J6rPaRAtqzQyHnQuceBTN6KKmoRCofqOhNzsOxFFau36rnoLBVZfU
m4v1kWBEsK+h3wsAjefmoem5HNMS5oEOfvFWrZV3tLMczVt9py/Zx9xtClg/rOYY4OMRcy6qiqvS
GoD44SCz9qA+Ni46HcUhfjO34QPm0Oq9uRKf8dpauCNmD/ap3IldYn5PTQKURB35O/HCF+ZGHZAh
7e4B/dm6o9xoH7FkkzXQrBaClFnboaqKIRTk3zQ05J5rbERRGeaJgfgyJuWmYgmS1broe1cKYwnc
CS3UH0oUggpVz+BXTS1+HEpSPectpsn8TO42uTqwY8ELknvXDVuD7KlfOP22iV2LweQMuAnwC6xx
FADP5VK7ui5i1pSR7KXjsweoCNMYtCRxpLYmRVwzaMgBqo9y+d4q4SbJGqdg6C7IfoqC3Dd6uJCt
mFfuf4KnXCowd7OKeiy8H8urloYrJqfrBeVmzfmvclOGlNBA5m8coXfaXXHApC3SL7gmybMZ2sHP
QToOn+lvAuaxhRLYnD8/WVNrzLOf+HMx5KFcGHoFSCvyIgplE/jVeqDogaNaYCdl4JilcVcV2vt1
fefc7anciaNIVY7OH4IlzaS7Mv0qpR0tnq+LmF1RDaNwsgyUWAABnqvGyr4zqY8VzdBRgPylfmug
n5y8XZcyaxsnUiaGX0eSluT9uG/RL7PY1kst8bNRE4p6GLNFR+vl3D6Ly5ZEAaIm9RZKAFbOpjfk
rnSN73JlbetNt1SZmtUIT0zE9ePM2Z/M2YlJDAZDGJ7jxmiUF6k9JGThHM9uPSAxMVw2ztlOq6Ec
swRAT4JCNc/RfNwBpOm+Gf4dkBuPOXTmYg4Sbzqk0s53v21DeEKAszh99ZC3Xtnf8WTBIc8qgiYN
vEuQuSBTAwtkUzSixWVX9n/e4jc+ZoPitvovdnwiZmJh5pDh9443eBkDoTOxM3+jGS8kW3h6zB6X
EzGTBbNSgtT8eJ/2YEQvDgnd1pKbLD0Cxo+9uCf+StEmb4/WihiwICBFoc4QHwj/SKlryWDa8uR+
wbfNX5h4NgJ1CyCzFwQ5Uqo3WluGwqk/zdorG6/bmcxW1+kucgEpHttm4wLdQF3wbfNH9kTuuNQn
J0hmHDAyfJS7a9f0VnrAe+6Y1444Ck844r3eXPdBs1uHQapx1Bhz3FOgY43URqcC6M2J5UM06A6A
Jbcx/5VIxUIleTYoH2Ew/q+k6fbpKO+YuIexfb1TFyvT2OvFq9y/hmybsNwm+VbE91lhV8FSp8t8
3HUiepJeVbncUlJDSesb6EPWa/goPwB+I7DZpgM0gJNITngk+9wldMGOZm32RPLkjgSlA44FSwSQ
8dBe+JCJg1oDGu8miw9duTRtNdfPLANkEqDBaC1ED8DodU6Mh8RhBXRz6FlRtzoCmBdFst3g9Xd0
XWxQcjyqhZ3dKg/XTWi2HjKSw6DWg05QAGmei1VzVib6AJsVbvMK32/7j8H2PTxam+FuQdTsev4V
NTWiuDWtwB+gYfFWe8a6vNG/kp/82N923O5X2kq/S1bkI3gP7cV8wBhWXLifE9FTI+pbNa9HLRsX
9JR2tk739IZt3p99B/DgS4Yzb7Mn4iaWI4M3NOV/FnVlgTn7rnGiY2NTR31I7cChh/SYfS01Mo9h
zTUVp5HVCLDFMGGJqdtbLu0TcsdbWzLQD+Rd38fZ62/MZGIQFQAnU14XvI/jLAZ7ghNZGNfWZLu1
vppwe13IbDByImTiShODi9qK4XAk3bfl7gFVyusC5pZr7PqRFfTgYHRuYhGAoMwyM8DhHlCtEX3o
DEF6zDsLfJ7VmlG+UIWYc9Wn4iYWEQgVo3oFxNWxb6dasKr5USpW2dJ49GyS71TQxAwU3sVBpGDh
upW6jXO73Oh253Z7oG/zPZrr9I96L21am913S+d7aUnHPT3xYEVnpcioQ7S21r/RI5Dbg5t4lqfd
8sKx7rVVug62g+d7i6yXS5KnvtPkQq0zrK5lfmbhLqVPfYrmh00dr65bzZztn67uxCytutVbISBI
R3tiyew8XCsgybkuZPYqsMDuhz/o77icAq+y2hRjDFsyL5ByNMLsg/SVa1vQvtTxnoSghQIzBNAK
DrHyBNROP1xI980t6OkXjK78ZCsJgMZpO2YxRXab9o/oILDRy4Kiq23FSwSvc2uKfh64k//D3Hct
SY4rWf7KtX5nDwmCILk2PWZDESK1qhT1AqsURQVqBfLr97C6+1YEkxOc6n1Zm4exvpmVTgAOd4eL
c6bCD2gZj2WZapKOlkRoGA3XRHkHb66+VjZdEzHTTKWqO6JMIoZcu81iJMAY3wDQ1V05uMlozG3w
4VJmeph0WVq0GeQ09tYW31rFr4gf5N914xIdyF44uKl9Ldd4Bhf8KtQEoI3AjEQIMR9MGmUv8FaB
VK0qHU177YAllKYO1e4lR8v4Gu3agik7EjczZV0eCYHeMTxMg+qmzDKPNvGmw7AsHncrG7rgBY5E
zVRjxGvR6tn00upSv2qSs6Bm/ukzW1vNTDWqTjH1oYGILr0etadBu7fG++wfPBmxEAayThRCcFSz
KKvsgQWVTwGB7O/RhGNE+2wNFmcpTXYoYz4moikNz5oCfnmwhIdJac8OwApqay8NYPxJUPpNNHpj
JHdlNNye3sSlF9eR7Jk3HQiRttFDtkqfwXraJ2ei2OXR41j6dfglMHaNfj+U+77wqHqrsxWDuWCt
jqTPNBLw8pSWErubBtQN1ffKDp0kBPtDrj7mRbeiMWvS5kppi1Ak06urtW80/YN2sWtlgKJNz9HR
ubKv05fPDApyngjdKIb8QUI5fcuBHdYBSt1ZHCszBoTLpXKhorTbN8FNGYco8/KXPEPDaaPdodp1
bdFogs07/QmTyTr1BTNPkKeWYmsJVhtLdCZZVq+hwa3SQE1crmECLW7swWJnl4TpQAdXMyy2jYzz
UAk2BTXOdLtzEiIAE/T+TxaG5hN4WNDCzNNRajCGItOwMKPcU+mNOZoWt6dFLC/op4iZbRHgn+eK
hAgNfaHSdArwO43ZRdJt4+TxtKjlGwh4+7+XM53jgaZoJASogIbgazhD4Yxfapv60npHJeYGoOjG
Gd2J2zWvShbN89SLDZLqiXZxduttTSZaF0Fm89D6sQeykB3aYJXAiVyUef2JUVz66aZwwjN2hR9c
QHfP9ZtVQukFoAN4v4MPmRmAMoFa9gIfYlwL9zE5B+JLylzSeNYFhqjcYfct8YrSUR6yL/o+XAnt
F93vgfCZPVDR8RtVBk55ELuqd1X9vOEuJX4EylVWrpi6pdjwaKkzncplldh9Pu35pvAAcLB9BoB+
t4s9+067a3xgzA3bNRb3ZeWygNpD0Ns/UWEcKxd2t+yJKuC+GHNqjBvlbOqHHp146C6FAcITTOUR
FvgsClyhEWB/J15rvGGybuVduHilDr5kdtJhqMl67KZ3FGbI+ktqA6SUYlK68vo1IqFlrTqQNTvY
CFzUhTZg1fQsu7hEVaa7iW+aHXvAQypxmKO70aZ9V7zbGLO7p6/z2jJnp6ySHvwAIUQrJroWGOZQ
msSrAOkedx9hT9eUaqF8C+DAn+c7Mx5FnIHgtoC4QXmSoeG05b4ydykHxhV9sNkNYDWcqFxZ42Lk
ZYEWCgh7KDfMhx6VkbA2ryCUA2Z5QLreYsUt0CW0fA0Ne/r8Tz7sQNL0JQe20TBKYE5RSApQeIoA
YQGGEdVcMQPLQoC0AootC5MpM+8VWXWTGGrauH2DUNgqNnFtbUK19k5rxmcxAAXBDCWarzAWpf8Y
kDlYCy94HHCBBl4TDFRo0BwtvwKllxN2xkphYCE1CFEYM5j4CZHVZjP9T7VeiUy9QiGtYZdR8G6L
9oyo7VYNEz9OvptG7CrUdkzS7nN1jRH0s2/5AX4C9CLAL2Kue7ohB+u0tBiQkiWEF0O8iWLjLunG
X67jHIuYhTYklrGaj2jcbVmyMdH6rQrh5WGxoucLgfmxnJlm6BlO6UeDcCwu9PBLj05NyW5r4iXl
GQtj0MI/K8Eauv3n2zUJnWptDDgjoEc63r+stNHPVjfopGzRv5byTRa3WzMnjmKtJQvWRM1scmuw
YQgoRIUW86Uc4BWmPnb7Gl3oKzmmz752WhUG5ywGg0Xm0KoYxLK7wMCRKcJN48cm22Rd7XDzS5W+
GtZa8+vywn5Km9mNKkhqiqgC9X/tklkVCEr2dhg5ibFiOj5b++NVzXQdGQXVFANWNQQpuuJ7Jyq+
22p9JsOnTlkjeFtb1Ezr8zAvicixKKXxIzB5JOZrw/vrek3tJ60+NrrHi5ppPcmiZuLJwcN6iGyv
DHiC/uHmtjH754D0V+3Qo798oOO5YDFaDk5byUXhQPxFxXGKTudTFh3STaqWQrgBph4FFIzyTan3
dho5eX0viu/BWmJwIS7Dcn9KnBvL0dBQL2p7NKl8Axj2GfEp0EPvCn/YZHclImBY6K16vvZkWqg0
HIudBQoBaiqGVUxiH9G/HHrKjgO0qH+kH+k22w1AkW7d6jvct7FyExf9EEzLBFmgoW40sy9opo5y
FNqnQcxLW2vA9esNZrXi7BbqjljegZSZaUEveKRrNaTE1dYAVHSADJrpopvfU4H6H+R+MGzL2HZg
Re3u4bQOLV6UA9kz95elZhdhcgCdgQ09HwSEqOUFyMK2VcR2p0UtGoADUbNTTNGgHRcBRGVKv1XS
cUsGNOimlpsz4UDHv5wWt3Z2088PfKsseNGKDOI0+6XQbnNwk64ODqzt3sx2GsIeqnCYdq8C51Zx
mza7wDyzxpWLvrgUkKoADhqTkJ8SJADPbUKgTcF0ZudC8ariLVwbo17239P0A5mCu0+4FSUSxalF
EIoYzZNmobbfF3hujC+jUl8aNvG7sXjONOTh1xgSFr3dgeCZqY7Q6pflk7eL9E1tl24+wpA0AHxA
YM6QZouZsYIMtaiIBxJnRhuDguh3syb/qhaoGxFzE1svkne3Wqm4KVVX+gomvf7kI36K+zSbk6lh
2E0ONm4Ut2gDcP2Ma7RVazJmhiqrMJmdYiTMpTg1hLPcUQd1reVkUdsPFjKzU3gkGrSdxs7atvCi
TjVcTix/NDXEDKC1OH19F/pMYBXRJGBaEz4x+iKP729Zl9pABmwbJiHycRvlNzF/4fUFDR4anYJr
+IkY+za+KcJ9Hb6sCJ/26/OZ/RQ+u9hAVcqzqIVwKjCvek7JZcCejHgHvhMh7sPyQjPQX7PibRb9
+TS6QFHlQDg0W/FYFmBqjCAU9Dx4oWpbzO17PSF+YQBZHyw6hRm7arraN7C42AO5s8XKOrQkm4Kl
MboYhwivfuA+c2vwZf5o1qmrDY9Z2Lq59WgAeuOf7PSB8FlY2NZCN8cphG/AdKbQyzy7Mo23IcZA
gXnWmtuSe0G14+btabmLunwgdmZ1lGAM7LCDWIX4dWzdlpirN3i50czH04IWbfeBoJmxwcxPXwFj
Gu8GM9wPeAFZSrahib3iIlbW88O8H3i7uDFiWRiTGGlzp+zlU6iPGPVFraxda8JYfjP/XNOPnx8I
CxMaFEkJYTH5rhW+BOBCsOcYcC8VG+AMG7XdyNrpcEdO7+VyIDgN2ahTCxHIfo9tQp6iV8kMEPE2
aPsIOu4mMvBorGwtPQWZWr4jAmP4XbWnauxTbLQymvcCIPDCfhz0jyJt9ytftHx3fn7RzCYWVQoE
7qrDAwBpHQCydtedcLMyPDPA4GXqW6UGQXLj28FKMPWj0PXJQh1sxSxwA7kzNTILWzGWL1WgbxuG
Nn3JrtlA3Tw1/QIZai2+bdLhrLMkIKjUvRGmAHS8BzIHYP/5Q8lee+tlmgpXWwI1Cc86M4kdNJ1v
m1z7qEXlBwGAI3INHL91FjsgkXL70rw7vYWL3vhgIbOwkDBgggwGFiI6TC/tg/itJJpDVS+Qw8pp
LRvYn4c1M7AVB70Unx5MJTlvyH3N5VYtbrXmmuJNoZgOMR9Or2358v8UOLOsQaUKRntoR0G5g0u/
q1UgaEjpnxbzP1zIn3LmRjSjoHhCRXzqZLBMv7TcIAfPver21T5J3LRtvW50UD7YrgietOxYC8E0
DDiYqU3YnFAWjy9kYYMCiqgIgIvoouYYAaNnDBqP50sbvybIxcjY7bILmXoVxnl5v2JcFx6kkD/N
yQD5bAFnVmGAD9anl2FQIoVcIymzSdRzClwtXlrgqR9cM7/BLH4Fqu6xRlFP90R4rQ7Z5vRGfFbi
4++YuRPQCQPiqMR3hM1YbJAR6J1YhqpHs+qaA2fHyYg5rMj8rFyQCeotJJgA643K1PHe9yPBqM6E
J9zaV4LugvIhWUPunD770/FOzaEG5vwmZsdjEd1YaxagcpAbQilk6IIteuf91gIojxYSz+YXdYju
8NNbubQsIFxj8B/w08APnqmUgv4PtadYlhyuGPA60mEDqKHTMj6Hy/AgBzJm91IyOyDBNHaLljhL
gdrE4v9xFbOdi4ZScDkdThq6HRLLw1Upnk8vYvrI+eEcLmKmcy0yA7aiQISZgWaxdQT3WXDR1Ctd
UmtiZgFMP/XjTNfMleWlLt/z/omnt5a+kodfPhEbEBPgeINzn0lJB9YHg8CJtKR3mmCTNCtHvryM
fwuYsxbwaLBAjQ0BxXBfVdvUfAz5PenWCKM+uxhoFmEYssZcDnDdZpcyMCMQCky7xbtAzx1wzMHw
jgU33lncZk+BoSTvIy2ah5HHqEHVIuErr4iFgjU+ARD/KnIF1Pw0Uz7GjFjDiE6pCoj05Zbvg69G
4NSGm+598Wi4mcuuzsd3/d70+mfLQSYb864AgzutnQvl1OkzqAXmhsk/zEHk9RIgcCAjRGFReORM
etFX9tJuQNrupBdJ7mS+/aD8+nTPsUxybK8spaNhaaO5Au6IdQ9kjRZi0TYdrGl2ulWjxMDKwt8P
9Yuq2DH7ix17p/dtTcR0UQ5i6zSye4VaEMGsK8XYB1bi0DUS5sW7ADZFsO/oU8Jndtk6KwJOWwwZ
aVlhJPgbnpcyBzyVtTm9liU5AHHBmBKovaZLcbwWNWkltHyqY3cgkLfGpLsX3Ap7t7Va8iqTMM9X
tG7JDyNVC9YkMEYC93m2e0gnJHpTodHNFoD8br8HDENLObTe7ByDyqfT61syWpT8iXFvMIwXHK8P
RZyy1yfqACrzbWoxvHrWqrqLCyJwwcA2hOLNx0JNoLvqKYMH1oj0MuYDF9CpQFGgv9Hm/vRqfhz7
3KEwDOIBpBdoKJ+Pqy5iIepmGjq2d80zudQ9CSri5/4qQfOtQ95ACL4Zr5jzJbtk18PNcP0CoI+d
vTMdYEIDVuL09yzt7uHnzC5z2YP2MyzwOdMhSo4BnOHxtIQFSAwgbx6seHafozzVCW8gQt8YV/wy
36o3jWfuzKv0rH1RvO6suGSO2ALdb5degOyX705/wNIFOZQ/U9eG1CVqOJA/oeUJcWFFVzxXvBwP
rV8XBCBOKCuuBQA5Z5qaxbRX82mCmQShi8aHVHVqtHekdH9azqL1MiCA2lOTgDm78dIs06EeTWSR
w69WB3RDLpyB3Z4WsnQnUCz/t5CZYrDQVMpmEkJhVKKbsb8X3SNeIk6LnuDTopZ08FDUTEHygGti
pBBl8QtmCz9r05WTmXZ+fukOJcxUgIMkp1A6SOjpcxrtZHSNWFErvtQA8Iif836lHWApoodBnsbc
EGaROeNjI+sqjw1ghoj8IdMTRyG6U4XvYfFGza9RtqIOi9t3IG2+OG6LHjkh1OeHHQahlWIlk7+4
eaDphXFEcQSjtccGOAFYQR90MPdG99QEF7p6lRTIt9gvJjp0B7fs306rw6J6H4RW088PnHPWqUNq
TaFV3FG/ROIbJtMHjOKK31wTM5mNAzGVmdppX0CMMPZA6ATvKCLFtXfW0tkcOufZLRpLPVCCFD12
Wf/UFWeq/eX0Xi3ZtsO/P7s6Y6IVaTfN6Gj1rui+9+ALt4dtl66VPpasAcab4LaQB5iw6Y43a9C0
WAWCN1BwpKf1oWOQXafurb7Gg2jFXC+dy6GomTorYQbgvRLnUuhIb46Jp4dPpRV5pzduTcr084PT
VzrWALcYUiz1LNXA/548MczH/BMhQFsDshVwu8ns5owtsVljT0sh77x0TUrcJlyb8VlUAUzP/S1k
9kKtAnRWAXsGQy+NcEY98hhBY0miOWH7cHo5i5LMiSNjKpEye7YcUiDbHWuINE30SVJ+HcsdV32M
P58Ws1AlnbDHML6D9x0zEWgen41MhohEqFe4nUnd0jAfY2o6VB8r9C/Wzogs05AaW5QuN6xWnk8L
X7qwh7Jn2mcNjZ73HFVgko1ua1Q3o62tvMKX7CnwqzCTRZFjN+fRZhCOYQZ9mXp0ApicNus8WgfE
A6gy2uByw9w3FU88YlVPGe3blULpkuLjtQiF0RFT421yvLmdSbg5RvAWZozIIcjdvrAuuNWsPJCX
dGVCc6MYxgJw+Bw8oRUKQEslQmrGfSIwq9rlXgPKPbvcnD6wxfX8FGSpx+sph7wPiyl219Va6x2t
4s09Zqd6FUmOFDfitLRl3TwQN4u9kKLPJ24lrAugPUmkOiIG9JeEkwcWqhNH4JK2Q8+U120xrsVJ
S2EFEpETB4WGVKE5Ozo907gm0R3qcuRhqX1XFAB8bcuLMCEe1d4boAGeXu2S1T986M0EmnYraZNN
Vt/ogSTThIEbGFG2IyW5iTtUT8uV27fQpTO9FQD6b06ItnC5x6cZC/Qf1n2H6R8drYy46cmQAWqT
nkUM4HIpwrW2iR0SqX4pPtAT4ql5u9bvuHjGAJ3HNyBLhrzKzM4Jro0l/QGGkLRnHBNWKbOcuGo3
LRkcCbThbriJw9TTwvfT+72ky4eCZ6YcxfgSKR5kc2SQAXx7lyml08iVcHHpZgIL0dBAhokRmU/o
AAUQAhlDyKCY25Fv1XhrsVdjXDvJSTfmITe6CkDPC84bhlnC45NM2p7SdsJ50IIbhmmVfFDdKBG7
Tqv36LrfRcZwz4qXRAPzSABCyVI7I9naQMXiWtHUjpkOS0X/6mSKD728QsgEqTt1UoO5mvlxHjhp
5QOz8PTBLd1MYGL/LWee95SZWoOpJUPImsV3ehT7pVZ8HbnqdSQAlur7EK216y05EbTZg64Ks5ro
yp2tjI6p6DRZoOU90mMPzjHdVTnegbHkN7qeX8oeTAEkV7gLIMX8l7tM0TOOYSdkP1U8q+aGaJBp
HVdDjhe98Rr3N136MfaurDcAnf71fbV0ILhioHdqtJytMtKkEiQET3dmPRX1Po5f6ugtKV5a9Y3f
nRa1UN7DoiglIDcFDin+/7GuxH3WDjBz2FGklNtuM6Cm1W+08FozQPizsTDcX5AnsvY0XUzhHsqd
RRwySXRF7epp4HHzLt1bZVdXG+vrnfJoVX5U+9XjipVZsuqWYWL4ZuLjREHveKFsFKjGkBahrxhd
y7igAAXTvqnxl1Cu6MnS9TuUNLNnwuhzK5okIc5zbOIU6rc+cSlfCagWuphwdAcrmqlJIE1dWpOc
rEGnrLbrHOFkZ/ptg4y8V96U3DUeTmvLysp+uJADw8L7+K89jJARafh1lT/loAiw0zWtXDwsPLk0
wwCPPJkn+MfazDuaywkJgbkg83vY5C7VHeta+xrcj268LW8KPC6d8eX0ApdcEbKT/5ZLjpWkEaBo
yK0eWlm/BqBaCC4De3NaBJn+xtxFHMqY3bhOFXqeKJDRbcDTRB7LM+7JvbWvPX6fP2i9B2AlF8Ql
XvBNuOdomnf/ybP28Atmd0/EpqIrArs7EnKTjOqmSEeXoaFjtG66str/WPB/vMn/E3zkN38urf6v
/8R/v+XFUEUBWo6O//O/rouP7F834tvbR/2f0z/89y/Ofm/7kV99Sz//0tG/wR//S7j3rfl29B9+
1kTNcNt+VMPdR92K5sffx2dOv/m//eG/Pn78lYeh+Pjjt7e8zZrprwVRnv3214/273/8hrvxH4d/
/a8fTZ//x2//LV6/ZdG32e9/fKubP34j2u9TaR14U5iZNVErhvL3H9NPNPv3qRucgWYCwPuAH8XB
ZDlauP74jZLf0YdgW2jeA4AlXhbQ3BpBHn6k27/DJwHVEdNMeDda+NHf33V0OD8P619IJd7kUdbU
f/x2fANQb53oiu2p6x/VG4ZWweMbULZlVGYNDwDZGHa3cO4CuHldDABZUci1CgS8zNFlgDgYYhvM
eUiuYCtQMZqJM1LMLgzAh2qqnD6PdhO9qmYZlo6o2/zSUhD4bnoriyonT0n/WuvAnAFpJOmuhnhg
+i7NBB+dqDXia2A1BMIPwroFMUdbxLe0BWqNF4LoRoV3s9PzmjYpmHiyot93GJTOAMBjIGMggbn3
nPAgRx/NwA0JrGxSDS7ysyhcmSROH42wAjaXVsX6LYB18hu7Tzt8S4nmiyCJzM6ljaCdh+Ja9IxO
ILCCR62SOYbR2rZb07gfwQJboCFYrTJiox2Rk6+2rpglMOPM8LGe4P1dVRO2cGSWSgv/UlFUd1Qa
HfE2MxXTtQC4cxVUIn+qJU/P876I7wLA7MS7WB9oh6HRrGidpi9b7qodJYqjtGV5AwhbEoDcadC6
j9hMSuY32th8RXnfuA55OOqbQVbGs1W3yuB0lSDwWIL0zFXGrHzEaK6MdkqdIt0+JsFwayYN+Eay
gRS5a4EF9QUU1/wpsqUAfJhhCdMxEBSif04dywFv077/StUIyPck1KwnMnRSdwbZpK9pOkT9JqdD
E2FYsq4DtwZYeocngK3d9kge6jvaGLXhmaPW3sa9zhR0HraYDtTbyFLAqUQ7ddtLhg7ErK+sc2ht
oTpWNdgPAOMPC+iLZYxOkAHg1GGKyb6GEjUMJ20I/aaktULAKBXrmLhNhrDaZNVQ3gx9073GVd9S
p7XHpnXyqJWobdO6K9E1ZpEvmF+pRsCoSmvTleWIbragR4Sf9/3wpSn6DGeegerIwagCuvV4KEZM
+6ZViRpXbniGYpubjOWa3OoNrT4iwMlmPiVN7yWkN1GjqcLedkllsfcgRj3YGcAe8JAFpI48Nawq
oJkVXa3uNLWqffDodO0z7Y2EOWQISezoMI5ghkrM/msQSlk6XDK9dqq8UlHpKs0IjDHtQIBuTXs7
3aOcQsWeUYFOFaiJ8mrFzAw9vB3qZtI60CLVTRTiZEMeN14CVgvdkZooECiGSnmvVwaMg17JMNuA
DwvtzCRB9sPlZgZmjRqNoq9Wb9ME0JtJkziFQaoEvf56CVAlJaqJoxbgZHBaLUECGhOb/Xe7jYvU
6S2B24zPeDB02Zc7FoXgukJAjwggBxlF6PbqYCuumYpG2xC7bx/qptJtB6aryn3gGSaXppEXupMo
0rpKZaaEoJc1yvdR79rRRT4BHblWaeeDX5lR861glgnmETXITT+0QM7VDyDFdUgLTkCPR5EZ+HQM
9I8e8MDNZVwAtXQji6oGF1WoRcaZrYzBQyj6oveJzKpsY0Rl8ybCkU3l6VTVL5uhTjB+IDsL2NhV
2CLvXo/I7FEm2NeRKVXj6XFFrhtmDo9mVKsPheiyO/QRg+hGrdC+aNjC0PyxBHeuZyQ6CM9+3Utf
Rm9VXuffm5M+evLl90318dFcfivmv/n/oaOenqX/s6f266nd/shTT//gL1dt/U40vKDR7gJy2SlH
8berhhMHMSUcNX5sA5WfIsj/y1Ub8MfTRLZtwRmjM8GEC/3LVRvm74C0Bw415g4wgKCCyeIXXPXs
DTUBfSDRMMk3kNCkIO09dp4jKUhTRbHmZa1KzpE6fi4woL1VtNG4aMYBNO5amp3bum1vLZBubfVq
SBPHNMU0TzeCvwpotS2oEoI1bLjjd8KPD5vedvgwjD8jfJ99mMlhvHqBPttSFuV51rRp4JC6x4cm
FV4lCqiID87sryjmMGqZwoSfMfUkEDkBPKdQp8OTAQNdxztB0Qgf1VIQDzSeLS6MVZ1VutI8npZy
nO+YJqRAdvRnS6oJYFw6i41oy9PAKirLi/RWvZB81BtHlJEKgmcdTAWEBF+CFknCAiSC7mnRs8fe
j+ksZDyQOkeMNK10tkJu6WWXmzLw0fqUgI8tF2d1BgAJSkH4Bwo6Pdtiyrzf2CxOHQV5mcYZw5Zs
MXPErgCPza4BoLXGMjrrkf3zq0DRgJrFBBb7KXtgFjSwdR5wj0td2aCJ2NyVWl43TqZkg1PYY3gX
y/46Ktv6HGYzccJBC3eMdepTkiVQQM2+VdqUh14Fk1ataMUsr/rX5yGxivQxBizhIY7VwhpNVFSr
DO+rwAaqfWLrnhrT6pvMW7kzh0R7oqmSRw6oENUtin3AvwOt4BZuMz8Hd0qzUiCfXwuUjwDYAZuB
u4p37bzCw0Ymh7CuQt+ILVxEJFNbv6hCyzcLVXkODXtY6a9c0hrkdWCE0OGDp8X8XhCzFHEUlpFv
l7nYjLI1wdSLcABtikPvhlkUoker77+XOALMgNbN1VAYiZ8TrTgD1aPyRe3l2sTh8dv+x6GwqT0M
WCiwDPq8r1vWtYEBahb5HDDUtxXy936lElSDAi53WdShRlOl9srWzw0Enlsg+0LbCFrSEKQZM02A
K9dbmyNFCQK1ACMddbcdDZGv7PeCFDrZPcBi/tm0fqxvGRy5HSU88WVSY0NZEzNXtPpaeuTTDoIE
BpUC1CRNpEDB8TMTE8FMJHHMvIQNwNwkId1njAswD7YN34LukW1jJWU3p03Qj7TxoZHFDYI9Rxiu
gmR9IlI4FtvQzDZKNaJeno4K3ymhoXyn2hT95UMZbtJeQxg/6MJQvV6phsrnWZ6C2ADcj71rWUqV
ewp8Y+eA0bm5T5QyDLe53uNtM6BvxK0NghJ7RYfirjIzlJVMOsq7ODaCC6iSfh33sXZbou/Z8IsG
fYFOCdaRiwAUmNKNW2MQTpGq/DK0eC63LRazrdWY5FfYRsNwui6UfpPpxaZUSCedShK87gK7blOH
hVrzGBaSXalK2mebLkTuGHoSB4407R6z4TTUSzeJkrxHVGiK+9qKBF4bWokCZta3RbcXBAxLt7LL
gl3BcmFtdW0wIjwVOvG1MYyR+7Y+iEdpE1AwWYmiAEg3RvTocRWPPFdXevNVIXFVeeAYjR2GRqq6
sPl9H/HyUdDYdKO0ytbAUJY0CeYIqQbcDg3G6fhIRR2PhGP0wjNJit6wSPAtco7MZ2WbevoouqsQ
bI/+aUWavflR5IYeIY2BeB1/C4nuY6E950GrB4XhpXrF/JGkto/HW4GHR/ZrwHawNRM6LUwfVoj/
QzP5sSi8KxOETjZE4Vaca0OlbngYJmiyKOgZ9HzYMAYkjNPrW9hUNDiihwxDBjbDaMOxUKC0d1yO
CfO03G4uk0Fe89AUqFXiNQE8+hbUkZX663uKtCW6lVDiBv/WvIKYUx14bwPFQqOIbqbcEvqUrWyj
l4G5O728T15Mg/UGhAgkQSICoePl1TFNc63Fc7ZmmL2B16r2ahZFfqza46WWpnJF3hRkHwV3OERL
MwFYAnmIq+f4psI0yrxNQtNLWYMAJ7Xs79bYi9coHKOHNknJM7WAHLFV80obwRpcjncqN2WxVTHC
ArT8wsq3rE9Qisf9AgNEoBUhpmfqYV+DVWuNAHJBuy3YRntidsMuzTNavLaLHklk08vKzL5o2ygF
0BdXXVbU8s8321Fi9TDqXRKFeBQtFQDqhyudaXfXdRhqzwITJdk0w7NZifaxoliugFVeOYSlMzAx
wY9XkMlg+2cRPdILtRV3MZDVR4NftCNHRwri5cIBwQsYehsRn+tU71akLiwQ/BB0KtdQYJCok789
qDfkth3JEHOWXmsmmQ+218itSD04bSDJ9le1Gi8IFMAsTIYDHWfenhLKcUKQ6ZiXYa7Ciylv/HJs
qy2Nheqh+0esVG8+hwpoIwdXng5KLLjT+TAHD/UktVnKvJyVxqZWhubChodd0ZDPdxV/Gb25kATr
juGM4w0EGr5S2BRptIgNtqtoUbvV07C90hkoyRnIs1fk4U9+uqywLYAzBLe8rU7Z5GOJIrGRDCSA
aG1Yh4m4OJKoD2ca7eyN1kg7c7JcD7lXD2FxVssSBNdt3zDkR2ttQGeOhbSmyS278mskqoUHvLz0
IY+6OPMGReeJC6heJFJqwBgBMHTkuySI0aBbGcCS5kMh3iKeD9sQfEff6zTKr4O2EWRTmiBZd4Qe
9u0m7+FbMY9gBIGPhGh0Jce0+gokK4QtikmROC8q9EVmRi1eyhhjr8j8BUjYxGrVfmCqAKnorghE
5PQ6EtI8R/jl2jw3Gzyp4/IcjzT1jVaFlC6OPv1St235JcFpf0/Cml+hJ9eOEIyMQPMB6LYKOrtS
yVI3KU0Ak1q1RjELq8r81chpw89sUxjTJvLhxgCWWOYiYST4BgRvgBwZ0rC6okolUf8Gx6PmNMko
8PhrIvNcbxO0fdsS422kKU289wOWfmNFU4J/tC3IAx4L3ZNIADzlJqLXgotW6DJAG+UgX3lXATal
LiyKTB0bE+p0fdY8hZ2ZFZtm1PGOkzno7DdJVNbIp4XDmGwjaRoInaTe6A4+CgZJViJ9G4dauSsS
QNF7ecnxIchXYgvbamB0w0WA/wUhofGWVjz8zkjXY11JFLQbgLIFd2IQvHBJ2RfXFVOKR4RuYLVW
eITUbtSNmYXe1ZKMgHpRAIrZJ4oO7MycxNINqNZhXzD+rzhdI/XMYXqmgjlglLzdt8xqvog8ZaEb
tgwZYr0csrOGZHrsJKNl39k6AMC2pWT9OfLyyOumGgX6dGHbNbY1qmtgssQZP8cJSg0dc6BWdwbQ
12fOEChmP50tftEstAjVSq63V62VN61rK5X5EKsZEJWiPLGsy95K871iZOE7yYmdbONc5/ux6dng
J3GZ7SM9y0q309XgtmMjeYAgVaDpoMofe5mNd9DrKHd4WHQfZV7Z7TbJJb6WpHByGKrm5TWrIlOs
RBtTZfn4JYBLjnoTaFOmQbC5sYykoQnw7ALCPVSNbYmUtgcXTC5bpvQ+wg4MzP9f9s6kOW5jS9t/
5Ubv4UBixrIBVLGKpEiREgdxgxBJCVNiSgwJ4Nd/T8n2Z4m+tq6X3dHhsDZiqYqFHM55pwP0n/gp
+iklf2YE+HNXSzEXMuRDgMwRsv7WCdBYou+turWSDmS3iUS99QnUxZYEq+gI23O7/eR0GQWK0STd
oAhSc1r/mtSuOgncSV92Arbj7++PP19VbGePtpYqhUrsrTtoNOpAG7Xwkp5Jj6AyonpvADFHfR7K
n3gU/oT7UcpSdp1+ecadoNd6cy2GVYszyB/tBPhRH5d2XpO1bJtLQpAJWvKW4XPu+k0yoySHtCqM
HQ1IS6o1s8N7L81jf1o5qALnZ9ryPxcJ8IYEN9L+mpRAb7nDQnp6ECVzZk3VjpfmpEMd2VgQ9m3Q
EXBVec29MRJ++vff/J9RHgGPR8RhwJmFvvTtJbeVnVm4ufaSGmPkVVdw4AMDdsdmglzyUm/abzZ3
i2dU/nvgfv8otwnGIYWYejK6rX78+89DZPDb7QFgTN4j/siTlheJxo93oFDLYtgz3FK/zdO5Awvk
7iuPtjDq7bQrUJMj9T1T/jRdZRkmttjqWD5RSkV1nrGGX+cVzDQOt8Y/khBssqZlXrGpNpjUXa+o
L+PUrVR3pGXmrGvCdDnPuiCcEiV62cVdZrv31WSaB8urtMX9288MbRmEOlhlnnURtyQmtqkUXKMp
k7eRiq2u95C7WePF5rqKAZLBslM201RcScvKEaVb4qQj+xYWBWzmvXTNwiEz1hA9R9uTyot8V+m7
IFAtLJ8zrg3ZBDo7Cp7Do93ZCNJsnbVDokjmWvnhYqhf+qyFOKrXyQzO5bpI7rXCCASZvD5UU+vs
7cK3rl27G+68TW/jXkAgXU+cuySDjJ7I9k65mhvDJD31cfCBEnaTtdTioAPL2JLRNd/VrfKa9zNn
ykiMBcx83OamvO+nzCbSBGb6bFwaAK+8G4Ym6Y3gxDMVIyP8lhXJNYxjP75f2tF9LdugMc64F2X9
pZ5Xc/xYbDShd1uYYw1AlMts8WxVpbmzm86fzrm4h+Om0/5qGTpvvuz9MnTiyk7R969yaZ1jqcde
na35WBV7352VuLGqYNobuWP3yaQCM43Qvqoidqeu707TjfNrUrFDAnvGUn80s8UNwC8gHHiamUeG
3KSMkY/fiT6xzNS09gqJ8EtO1NwNF3X24rOICtjcwn2m6PXsKAzhc6PWMbpHV/hclA2hq5/oJyfA
q1KlZZy3RZ8eAwIHCQpGpwpWV1cgBbD1ZVRUg+HsTtPCPg6Ddzr6l1WejWsbDDtNBtzHttd+x9B4
uey7omjLuPXtaYrMIa2q3Wgsk7nfGpZpVAwVnF3uzP51uRaBFVduWa8R0mYSHRtrHO6pGgYzMsow
C6JWFfWabOw+sVeyqO+QsBv1LtXapbwz5u6LXsM2P3RON2lIf2FNceExJTqSk5LqrJe5y9hPBed+
GhNoXYbN6X381RgOzeLkE5nMhERxlA/eWZdChEbjpueJ4LJx6S6XITXvctGwAOFBjGdPl74fNWHN
9Cm1DW51aJ0qf8zcRR+MOgyyXZGGi5n4QtqPW7NiWB6nFSJ7Sj0ntirIhGQdUMAjfS0QLNC1Gid5
gLn2LKlmedIGQGJiL3J53Ij+7eOMgDiAItNpz3q1nCqbLHg0WvLSo2mowiYxQ6efKFYH824axowU
NBbV+bI55RfXH4ybbDBnQHpS1p+Fl5NkAQVtfqr60Pg4L4VfnKpKg9w5W9tRAUzzga2ejon2Zvmp
KgPvcbbC6aMriLLVsze/U1lXEo86dCRZwZlvd1bYZc9y9H0jmswJe1tZjc4SuypHH8o+m+rd2uhW
7mTPSMAIBA7RAI31qKKAJJM2TtPVdyPtL4QHnoimneVkFR6BVIqCbSnFtaSoljHEb0tcI2X/01zn
lR/Lql/Pg1l3bAs3K62jYfRzs5uYRgYTFRTBy7C4mWbOwlgtF75ETbDf6Czfp0uvH5e68ZzI8prg
rpoy93zoe2EnlpwXYojyLXvHIOLSjkTlC4xgEr46ISfEcoipr/0eXma13QMXi4KpbrXVHDO5mMWx
m/ze2FVzXVzVjep1rEY6wNgOZCB2yss2lBXCS2+6rm3vRZ6bXlSETrHtLGseXm0DTW8SoAsgBmit
MiD9ZprjkS92intVokUxlsq816MRBpHNrlRnIUlUPHbLye/N1LIlV4pqQnjobj1rC7PtE21W0FdZ
0FbVNf6WxkuCcFzWsy0Ms6/22lfeQbeT8cCTVj28gI0Ops81ZbabSW+O81kUVTQHInyc6BFQ/WYl
4cZBCTQg69LLd2E1eXdz2nBnZVMrXwuxmSjcDL96GM2sv+lNiIZETE1z2a/FZsddujkng4izpPHo
ODnSB2c01E7bTQ3TFbTLc+ZZ7RxZ1M2Pqei3Z5Ub6XzI24ZbdJztqkl4mNPl4vQtHJPvgtWOKAf8
XQrPoH2FXywYT9XZ1E7isVZjpw55Y3tZYlr1nCZM59IOEbkGOYFLDXnwK0L4myrt/X8kifvfSbYD
MPw11/7fzWur1A9cOz//K9UOn07RGGB0wN7rniCt36l28QucDaVuCGuGqRRx/f+n2k+qOIwKCOnQ
9TJL7VT6/Ua181cOVp/TPwTwy5Syf6SK+zbO97uOh+koGHqAvxCde7QdzpuS2wpZv44iwiplJsoz
eIT/HmM+I1i9rY03ExKBC649pqMf3M2+HA/p1Bt3ad9d9vRuzDIyduG4xuikjtxpM3tNB5HDMXu/
KNRbhUvabYa6Yx+eEvkZFfJSM+KTkWoM2jTWmxQ5yJlv15LmPWTUmtVWR+ltUN04c6I5c9STEsVT
vwSfOr2VCSDLxbqkd6aX2/uG6Wxnaa8uRFAbcb80d50npqtNl18w0RLCtdVRmzmJKXX90K/zvBv6
1T+3rHY8s61x3Yla+LsSUjkaxTK+OIZ5y0ep381MzuKAU7tQk8nWONw8qlut62wLin0tiGBtULnE
VVhwk3FtJKnRQlrp8WJUwtiv2dTstsDb9qNW2a5r7dfW2dKk0AFduFufTUE+fyxldwtb8JpWxoMz
pxbfdOF+NRZxHixF/jGtlHNA8XQIW0sejIqUz67utvNtDppfOcR/tGs/tsBN9VvVC4jtH4rW/2xj
/w9Sup7U13+9qfefVfvlX8dBfm5eh+8Fr6eX/bq3De8XywWhpgpFrRJAXP6+tw0fWasDA8Oy9k+Q
OfvqNxmNZ/1ihzY0MQkvFuCb/8fe9gR/BfLAyE2IKzTw4T+S0fyIZpBHS7tuMofx5PSGlX9LSNM5
58KZGiem5hluhpKpuo7KPuIOLHbzvKbHEHHJzpq2DRGb4Z5ZZGdelam0zouyQvqmdBJ0Xv4hIwPo
sBX5VaB92l9jrG4W4f+Ehf02T/SPk+jXT8v34jOoDE3cn8w9OmCAQWs0drykYrhPGyn8uGtV8LGz
W09Tx3ckbJbh0bI6MCntTP1tPqt6iUa/FMexALvagYDX+zK3g4PtSjtiHhNytxD1HRbnYptCss6M
L9VSjldmX49XZQ9y0K3Us5HllNsNM9eNZGo390MXpJmKndAgELJMa6BZw0pfhwzaLwqW8MuYpstt
3rsT7jX67/fCggkppN/Rk6pUPoVVjfziu+X32936PSvyjbT88RviW4L3A53yIfzfTqYcNbEKLrAg
QXV+FE7hgFWwnS9nkRXDIdcmmF+HezhC6G8fi8w6BVYgvMRY6Lc1eogCbxY/sJPmmotd43XWDerS
EGTVdetkpYj+ySf+lqb+5hO7jseHPanMoNfYOd/zHPDtQzCgHYkVxvkPY5PKo9m61ssI+QqCBrpx
blpdele4mUvKJ4qbg5yyr07ajnbco6lRcSnVO7+csj72UHoaoNNEmtAkj/dp3YE5TGmFbZ2JhPkt
HcECUz1NC9z8iv55ndcuxmiC4FPbS/m0laicsbhzaY0MzEOOPGqh0KvY+euE/Gg+ZRS4TWTqJoin
dVwZY7os3c2mx3GXGt2E6dtYq4VSK//oNzp9hI4nrM/L61vA6e7zZPJrlO5WWskWdhP9FnrVeGFU
1qfcmtRhFcHwSgwl7dEicz58W6uVmEEvfIePyXivQ7+7busVFD4cRXHz9wvodFB9B2+ethi2kxAC
l/9OG42T5/vHYfS1UqnJ4ABt96SV+2nRRH7JV2LLIC3QKCuv2mkLhQeMdbCjBwz3gDnOLTpl6caG
4dEmm/HsqPl94Ze+szuNIvnYzxliGomS65p+85RcQfY2Wb86K9+Fa0c4Wb+lqIO06NZ3U9oeurwh
i1R1BQ/JdFLU0cOUxVrMlygf0My7cnJ4EYB/3K+53MFsc0o3xnQv5xaopKpa+mRGSr9rlNzyKPOq
8sMIrxuQebMq9Nkl/eYwZ23FL8UEmdjRxnrp91UkaJsZ850Cp9i5DZ5hDlVcDVZ9gTZ7eAef4np7
S1rd1WbQ1YLq5eeooGmQimWUVbJJB4duzQ8wHKSw3xeWd00BQc7Q1Ez5oa9urKk36wiF2B4ZcLZv
utR/8IBbhr3XuvkHFUAfJH5hXJhtRuso3A7nvV9+8nq5XDq1LW+tLSR99CfP/t88enx3iGoQVkI5
n+6K7xhHQOSKPIjRiifJ4ioQDFxWduhd9cDhZxsydABkOTwzitD8CSH4BtX9ddXh4ghOM2nCkIkV
P751TdWU1rq04gF1/c41uuVTSXj1hXKtiyGY5dEZp/7MdWfE0ugLZQiJQBpk/s4Ie2cXdiwVPZi/
FT1/yTG/yTH69rE8Eboh+4Df3H4LbIsFH1YgVxGHurB3ueMzfA1MHUMDuYAb1oY90B4mrU6pqBG0
nr6RyTvMFKQ25QjGPRuh/qRSGujMNs9hsbw4x21xCZGx1JFs7BfKgz7uB5wXf/8wT0rbtxsZGpLC
glohhAh9s5HXyalVlYciTg2nvPSacl12qbDW5pBW4kND2ho5w6UKH01Z05+Wlbquuu5rznhmdHJu
PpOzqye/jKQZoq+XdW1eO5Xoy723dBm+Wqu4Ws2+P69hI/JEa26YKG10v1NCTDva2eHKbkDlUlRN
O5fv8UG6/srYAC12uhUp26Uzu4tWreurZc6KGQnLpi8GZVyXzBTZPGUwEM3zi4/W6DGN0qxCdV2z
rz9pIbYyLspueTdtYLm6npYLG9761pVyAWAoWLnEtDscVmBlmbgwvHXDFaLD4IIxsk4ZUyEUe2j9
7aAqTipyMddHawxygtRKuuJCWEtUWPk8x4a32bdONbRI89wF/Hz1Ls2xuOu9evzsM9ohEevApOxv
98a85vn2k2357+50Wi+OYzj6U/XzRn8wlU5T0ekJEOQi/WhNgnl8TQPe3UjalZFkAncbynjhGr3o
y42wbTM3o4qW6qyYpnYva/PzOopyn/e5E6naKWCM3DzquvVnApA38cnfdgyszCmzDcEhVq/Tqvzu
DBmyebWnnDRePdfVQ9/bwYVhgItCSTJEyPP2rCb7zMQHsptyL4tV33/q50qfh4EuzyxiKlhvjh2T
CJjHjSes4zjN/cUmAvopBq+IIHfu+nVDgeOHBooMoW67HItWqCL3EzqX8mqE2SSHcsIebTB44O+3
1Z9PKmQ4JwknRBc1M6maP/6CRlGkAag/v6CoLPhywZyNdtMP1jKGl6qu/J1o+4UrK7FlNIdLsUPx
y4efXDPKJu/V5Fr72V5/Y2TmW+dDoannIrURXplvq/guqNPG9GomveHAee/4zbwzVjXFwp+PFfL3
QwH0FY3BI7ICvDPO+QI/tf/7b+ZHEvDbZ/DBL2BF0Umiu3hz3hSMclx65Cxx1+kXt3C8wxzOYl9b
2c9Gb30bD/NDycgYDebH0wWAjZwalx+fwTKspSFNKeIhWyRedD+85xej/vZ91tCUGk8FvpIqHhu3
ez9YzfAE7J7do93I8LQsFnwOJrMLsiAA9f1QiueqnQ64nrIi6jGzedEGvxFhuN9OpLTHqG6AtfKs
5sx8Z3lURMoenC7CcNU1J03x50b6BI8Is+jP/Sxcgp1jlz/R17o/6lm+fcGEfoboeBFXeWgHf/yt
aeJms2h6oGqqnqRZ1ppBkV5zqfNgu5tWByIi8/WtQoB53EqijqJBO9d4ifHLDFnPj7uleldjOXaT
JmjWD700cEV5qzCeM10MH4TRXZiTaj+exJbEPHVz6yK0CNTn3tmCe+oGdz8bWTtGQlYU2+48RVqk
ALilBjMOe8YlOaIL4zIv9LVdb92rVobxajI66VPWesGj1FVwYRNF/KxHh6q6w0VxWfUW7KDRTt6F
P7ktBEZeHTHq4a+qGx8/mhV8qq1ZPnaLaOQubO/o0mZx1uWYkBxR8k5munPzwSp+XdL/CPT4zxCN
/2m+oNMJ8dewBnUxtqB/AWr86/BFbV+ydi6az9/jG6fX/4Zd4vghFfckoT0d+7hwf8c3hPvLSaiN
/wDVmAcgyWt+d/S6v1jkkXChWQ75clDF32OXpxnXPqh5gAsXmcU/wTfsb76UP84KzmkUzuwXqkpS
Sy1K2x93zTI1nVvP3PjOrAaEM4uTGswSk8E7YVKoR2HTDZ/GZcqqaHMzGJdAbZB/dZ+R0Tkuoy73
iDudjcCmSX/OaAbvhhxTcJKuW+MyEkCpckfdgk9unF2R7ZYARpW0NNkHx86TekqQXIdLsuAk3aLF
Swd1hcoJY0Y4rOZXFDZa8lIPK8A0S4bPepUh7w13aNKIZPhsixuXNgrfYmif+9ZoursCrPg+NJzi
QWV5dYn0JRTsycD9oHWOWfTEj+dRuy31MZUwgLvU9ZGXt5lFnEBBeFxCS2+eB2ug1bsRUel2VluD
uoA0slEMBdLbZf6kLgpHhh/MmjisYk1lgvKNfxYnzXylp7S8KtC79wTSz/gWcRcyNd6bqDnGymT2
R5NWj2mWqQtZtwb+VQ8XIGkw2mWEDsNQ2qjtce1iHir7Wwq98euQN3V6IR2+96SvjNBMODbCIrG1
VMGuR+5pHzZnMNPLSlUF0aEuu170pgxJUVd5huAoLJ40BqIZTaYfXts5VWzcj9qlspxl9s4oB+8J
dRY+xIkr8oX4Bv/FcLptJUu/6i9GF/lekqIZOmRpGYSRHdQ5AiSZ5nekBrgKNq5Z/GQ2q+qqDgCH
BmswDc6neZGxn6essjwY9RyV6IMuvapLnyw1pWtUNIV1bynDPFZlhxWawbDqUAOKqJgvnxSLrWqw
ZQpKs7tZlpx87IvurvTr7LnJPU0EJyo7VP91vT1wIAu0CFlXGzt/db69tYmYTuIqwl+Ah+v9Nhe1
SNrO95Doe9Jf9qDkVnrheZNFYlzbKn8XpJ64KFdEcFGnisJl2BCa/Kjw8vHDDIikYpSDVmSvYXmU
RL+Ux27tp2dZ1vrKRxj3XCzmeIVGsZVRPWfiElmydaIcvfTDGKrMi2ZuEQGUUjYzdZ4s7EQURf2o
Z3dtdkYNSkJAT3OWpe32fvV5iIldaf+JYDR6qg2d1xY7TU33tQVD/sEILYC2ibzxl6KcjYeAUwCp
hTEbn/lI601DzNl8cFeFwY75Ba7BJHBdXXQpc3jf2fo0rMM2UhMpnlRZiCvKE/du73tjVBHF8hH/
RU2xT+RcgElvbodzxYhZM+4pQ+oEX3HZXwH1M5NlJZ371ZQlwEGI+/V9Bd/8UCD8fGEIhvrSAJxw
I3Y1X9ta3QxYjB5rV+hHaVrVra1zm7RGetUlHpa802ftXAVmZHGP3qazwMmb+mJAu+Qu9DyLWL16
D/SiuFUbc4T4C6S+CQt6smgdazv2R49qZOoeMC5vL5iFKx/CuVAVn9PsfFQ3+HPDxe2LaDQd53wc
OqyCQd84r7qrnE9ixJWcDAUgCf+29t1YzRASkMqtHes8A1ppsyq8GQbbWpO003YXq7QhZ2VefLs/
C2EvI1nQe5kcYTyVFH57gSOedkZfpX4kV4ZN7dQy9usluxWlKQDW8mUztAQ0S7GuuMDFXoKazbv0
MaexzayeGKxyq/QLtwQ6NqqCbo1dcMALI9xaFbMFcC1bXinzHYqZ5WFoLSJRQrfAPzKu4LNRp5ei
vSzbfHXjcLHxshtLSZhAuZljfVVjjXsBkIC0X7WebtIQQ1is3Na9xThmfhmWyjZjZ9tEmVCKcRds
I8KDkzee3qMYSNQ694MK5A65VWnEedHmdtSYm7AidLwtXD7FDSd65pHu4y/M9i5ctTZoUTPrXoQh
ltQcRZ1zaOws+GDIiv639jrp7g3QmSsWVh3GnhrL7qYvUq9MfHSXimitTHxdm5mh9n1Wu+WHrduk
PFe0t8adFxr8eM51FQJC9qPYUUaPwUUWulmX6E6EBgKhwH8KtY83XugTjFH5/ujvUTtYVyapXbdt
OxgiCY188mNcmcsz7LR88CaHErltU/8idYTE5FgM08t4KvRmnl5/4TY+CWbMbc1N4g13ymA7nVQt
WZWkU54/fVeP/Buc+3Rr/3irI1anGiYfijgR8nZ/vNWdRruc40Ubh2M5vK+NLD9ya/uImMdsZ5WN
m8g5bC7WcvZ/xVX+ryb8r5Nv5m9qwklmn9WPZvHTK36tAq3gFw/ZI6QVZkPgfKq233JdLKgsZEhO
CIMM1wQr/UcV6OAw96jQwPgJFfs25eZ3Blv8Ql4KPvKT5Y54FCLg/4FZ3P0mg/x+vVB9kilmYwhA
mA9mdEK9v4MlHIATSpZZxxrR4TXNnEUghesQhqVwvxK6ssxxx2nFbBuEpF8qyTmGVm3iFi3MoXzw
gt4Tuxl/6JVyELbFqzMhyy+2WqRM6xq3R+EYhY28p0UdLarZOs02JUybSVqu1cajtajw2Mm0v93s
JiSkpcicMUmDDmiNufTBzWQA7kdisU4z4lS7Tqi+JBNL7TATr73g4ZS1u9yX+ZpejunG24KoVykI
eeebR2Qe/hpV6RdLVEigqqyjHqowJirdPFCZ7RFsXiNguc7d8dHYENbp4J3h5pdVuRBhNSR6rvbp
PMUuKh0rAym06h2apEPaVLjXxYGfK5KqtOedXFzz2AfUpYbv2ogDAR+fXeteha2LLyG33pWBSpqw
QMyidoHvMZyp+9yP/lVqkO8UlBddH96Z1XKzBqe+rxx3m+CVE8pxI+uoHGmklwChqC6ioe3X0x87
rFxgrHlgUl3ZKy+hIsejG+NXiPzJfsz8dr829VH1TrPsa9Iy7dlIxmAj+dtZYfncJ6tfwk+yKOZ9
MZZOTxO0LG7Stg60kRFkDwYCzUfRtzD5uS2NL9pamS4litV5B4dI9epwf0QLxg/IEFtttMF5gW2g
g3OHa6MqvCuUUlfkhMHrFZntXEJM+GcjcsgLWQEHWVXJANBqVlzjXl7cjt6Y3xVdnq1JxS2ErnHo
oSE9Kuq9EhoJVVPnWcF1YxfkYXSMPrMHUVxIFvNZSgLqrvLH+sb0pnVvrra51wj4yNlZPui5l0Hi
m6n+ahYhhYo3YxcRTYYC0Ej9HW6n5uua6/qClb8cxszErummIQh/Mx9Hvx0O/SDneGiG/GUdG0dA
ANKaz1ZdXWcA37ss7V4yh96C+MHpKxEyFgCA4++HtMYfFYp6Dc59VCJk5SzMiI0L3Z+YJKpj6vU2
bV/HxRsfcz12DxZq4OagVZpt3El2eGPLUuPoaAceMJIU9apCW90vWygfzG6UXZSC37xf5t7BiUVn
+oT2dHgg4MF9XhveGr5WrUXSlENz6dqlmUeEsFCW1GbvXqdpSUXQiSZ8sakbWWO5Fd6tYT2LuK59
yqAUYd3zkG1TECMa1bj7UmW1u7zPwmLPwOkczUoX6kunQobKzHKz+jI4PlZZq1vUJaALPC8RTvzq
M3JiYP7OmvPLVjr1FwhQ/eLbysyvBBYd9VyV5HnHuR6as97U5cYThUM8y5HZ9nuffMfg4GPac8gd
Qj+Y8H+qLgDA7EcWD78jp5MVbX2K7nNdoISp36tmSXzg1/ZS1lNZHCuz8YZjO/oVPW+DprdxCRG/
QQk6cQJVBcg2/HTgRLk/AE2uY7UaB9ug0LjcygA/tSa0iGoBem5lDldopleIphGz1MpE/bqg4iYD
ISuQR1qlBSDmZJuVE20zizBupPb4GgdbWWCgp5OmzmEfo2bRWX6VCbZ1wlfV+/A3g02eE8vuHBDJ
/EQGHmAlmWAkv3ZOSJUJ5ogpraj8AGuabSx6P2kvY7plOtnevh4yZibmjtl1O+241KJ5PhC/IHxH
7ORarwtqOMNrd6GjTPsQbMXUEmwOaHmxNEH4AuKkZj5LhxeJKCzbipexIQxIS7Fhsj5pTWOH5dVf
9uEQjCga0xFiSDZlvm+X0H8MsexthxwAHHxdB+mw73sSO4+W2WwU+GkOtWiEQJJ4U1yjPrfXzQ7P
DRPO5LJGDiRp0yfaoWkIpveLHOyrtUXyG6+doqghayNrD57WpqYr8JEQqX4sl10g0g5t6Gyn4sxm
39LBFaa0dluekTnCtAcXve44Fl+23lNDZFRIVK99D/vPpY+qPUeExGR6c2YZx0wh97FDZ4i8d/YM
3rd3myV0olKhWzrqxW0+h+TxXKa9BsqwQjmd1yghkVGbsC8RLwTwXedBNtG2jPMFYk5a4pSrE+ES
nMkSj6ru3SPN/SRjo9qANWpyIbJoNCrnSTFOA2Ipm/G+meaqwkQ2uGztcvYupqUjq10blXepB1eW
iZnmKfDjlDosADGhjN3mxVmizFKbjOyJ8pf57WCEGNRoNSKbcQIdmSz+uOztQFuMXMxV0CUOyEUb
AS4MT+vkz7jAOmTUe1GUPnGZcMSYWZ1SODtorE0Qj1bkNI92zhxA7BXYz/y295noKLf2tR76+Xmi
1YCTnrBWcVqn7mVBINuXoc9Ql8+g+GtcNHMKUpr1ySCsDz0edVRmkCHkc+TmB3y70xrlUtaHSZI/
QjqIXC+3TOsHxyGDJbLGJdnEULbJUGrr2e1auOQs1YVGiSuK87nKhgs5D4PceQ0ambO6xRh9xrgH
42a16q3YQ3pnn1z/PnMh0vPamV7rRa3yKpid5Y7ryT7xlWgPUCJn4YuT+gXDH7ZxvV5XY6xxjWnr
vuRcTonC9l20IQgyGD8F2/eBVBQ4zXZs6c60O05JY+ruJWiCgUgEEqrsszp1JSPDzRSoCQOJecz7
BSNdvdTj42oaHWZ/9HLhSdzgITwL7K9uqu1Xx8/8MTH6xX6yyKIqd6PjB1PSrh5GH9Q5mqMP0ymt
uheIr5nutBPZ3WytezDmCqXf1noLgPOIWTHAMQlkVbX+bTs4i4CJr4YXhgyBwcB58vjG3ptRabSI
dBPbs7iNzJBChRaY1JBAgAz6Ut7asFc1MxBlSkQfkVo9w2g3BupATaFO79eymmKrRuSdDM3SE0a2
Qb3Mnb2iKmnazIv7oNL7tfODIuaCNhCN2G1/k6cFNoYMRdITezZ83YZNB4m7eSmI4BrQSpZZPlOE
eHou952VL7dwZs3Nadz9Z9JXcKBgn+HeImVrROJiImXYbVyX50Af1B4Lmi8D5BKfZsQQRcUaxtCh
ooFcLme3IY0GFh026xmtePU88ify5fQUxCdrhRUgpM12fuXV/q+t+q8TEfbXbdVRfTmJB7/H1k8v
+E076P5yUv6i/z2FankB0ZS/t1WGMMHdA3TDQO40SXb4R1/lur+g5cPefxpFw0t9XvV7CNdJUHyi
kdG50AWd/uof9FVvGSmPUCYIKQzWlPEeUoMfuyou72EYVtXFvWV9wuu97cOutXblVhtn4AG/xbT9
pRzjTRjCSSVGR8gYA3AZxqJiOPzx/Sor2Fi7vB+z7bOMe3+rCWjOrP0cWs0e0/V4FhJcyXxgVyV5
7rmPpctaLkenPXY4E85HvdwubledF3ISiTFZyPXlaQTvd4/w36ATfL/foRPfPifz8nhkro0E2/3G
5H3XbYZhu20N2l1EleqpZ1rBOREqIecaaom/f6c/PwHfPaXgMAwuhGexTn//3TuJaYDFGDoVz+H/
Y+88luxGtiz7Lz0uPINyiOkFrgotGQxOYAwyCC0cDv31vZBd3cUQFddejTsnafmY+XABuDvcz9l7
7USyUZucvZmRVDtkXv3DnfxTSdGrDue/ztHrndHkcRk4uDA9zPvv3nhqYjZiL9xi2sFaN2eLjZ6F
whm1dmRbI4K91NK88N++SVoLKyoA1gMd93fFHurhpSpsil+V5Wo4E7BhNIoPfouV84Dx6c/Xl/vH
qvn+JhkiVJnZG/rw1t8+1E6R+1ykMAvtBVsNkut8wO2U8/2u9Up9zyhqJBipDO3ewuTsh9HSOjRT
PfHb1WvcOpRICdrAC2dUW6fBjrrFT9ZkoCnSZUIoYjsPhTFYv5Kx0n/IVFC4bMzFu89gi8jD1zfz
yQBhTwGMg/EIdEZfh+pfA6RNKR2IpJHBNOjeRdW2+b5U08KGM69J3TKd7dfX+zj0QRPQbVsHyD8I
mrfXExlNBz1Bxi/ohZ9r1AuPJnkZ21YqeUKKsb6Gt6/JI6AXr61AqkjP8N1r8o0CxUtZN9g3MSSh
o8oOnkeuwNc39EFbAcSGbg3FLXCueGzfA+lRS2pm0XIZdFYTdX0/I/878l4mTJXbfEUiiDxC25eI
ZQtVq9v3DdXnDrTQiRiXD3NvBSADmmPyUfqEhff20cYugqhelE2gDRE48IEB2lSVOC+mFothOlmh
BUD2+PXtrxP6zUPmopaJ9YS/KLOKd9ojd2wHmbZazUHOygKL2b+JgEgB/aVhqihW7Qe988IiRWb7
9ZU/e/BQ0lhEUd+CevTe3a8xlxbcB+4XP6i70Y2IFkiWmJtIK82LVouR4JAgcIU21Tzvh3oKvcyN
kW0S6Pj1L/nswTPGKFHy0MlheVc8NBCUdHmdNUFepirQ6CqUgOU2iVIQ5GJfO1t0rz0xbz8+d1Qe
nClZbkGzIO15+7Kx3+lQGGCKUdlr9vOA53Gh9XtWZTH1E855gVdbCxa0+FS23CfPfW2U8zVHBgoB
lNLrmyWji2Az00aug9pxs8Av2+a8641kb1Uxjp2uxb6bc8LjyJZsU6fl7IPUEL+uGe+/fu4f1hKP
H4LEB+MR7U6aFm9/yJR5eUmVn7wi2ombthqxTw4S1SLgiBNf7A9rCZeCXYBlikox3vX1dfy1TBaj
HMxOuHWQV15OpB6Zz8jV5xOL48erMIqYTkCqQDrxxX57FfCPid1PYxVIXW/3Zlqmd5MmnRPD9eNj
Q6tKD9L24YwZCKTeXqUzxonqrMKAzsEiGJIy3yd2Pm/0oTJP3NDHmcE3RQB1dVf4wIeyepTJIekt
LqW1tH22Y2Nruy6FoYb7kYC1hZJ7UMQqPyEX/jg5+KAhy7Xxq7AWvufsQDrWVGUOdaBcLd/NQrPO
pyKqLgZjnC9UZ+qbEnz8xulOrYb4dXh4b9ZD1I2Io9fdDzSo/9No+GugLMLpLCgDeaA0V52Byasr
aMpmf0PVBbJWbqh0X2P4rTBxTvHRsXA8D07tn9cy5livI97OruzZGwT9zaxKN7BDmiEwNSc90zCx
z1s0wmw6JMb0V4tiyXfZ21p5jG2U7IkqY7WZctNWqJ/oQOZIIq1tOxsV9nBQ2ptEeMlE9dDzCigw
QlwCna3V1q0686yx2vg2i3xaYspFxBYQh0yvHN4lTs8VQ3g39Utz3ahB/ym9GXV9YxSttpmxACGG
nZV/1y2CMWR11Ywxl0N+QYVzMlHU25385gPdb7d1Q3bkxgBbtJN8T6hmtxy6EUtHUhDl1Gi/onQS
39ixg9JmKyW/F8Rm3eS9AtMBppuUWKnbt0tGNXQ7jLFO9xQD00U6lcVzXXe4mr1Uly8RqpBHu/Vd
qGcJ/fzRssjaLt2IKunUiwmvOqFuv2jGm892OWrFjTQTyw2TWaG8HmuKnMFYTVRPywhBxCamRsKa
7rS6CMCDsMNroUqN21pmhtxCTYPcDTw/uXQRGjyCxKffoqXDOG9qBIQwCkj9nLfzPKoymAtBdwUS
z7xZBuBtm7qIvfTQD43mhunKANraGWVoTtlu/ziaNESAMSTEdkOLsJ/VqAP6HxodU8KsmkFsgXO1
P0rdoJpFFVBxfJn8bAuTqI52FNEocKemwddoSWRz1VBs4UmYVNMCVvIR3Wm12PZOWR0IuaxTPc4R
zyUvwGwskYSa4aycNnar36ghDTHf0SwrQ6fxe4o6Y43z3rH16slvmmUMW7/VnovK76nwTvGI27rq
iQLy3dy66Er82BtPz6anlvoLZmvPx4Vvzfr4TMWQUdT62fTTbcTKQqo6eZMINTsNtZ7GQ9sBsDbZ
2bZcrmaa2M6W+DEOE1k/FXtIRRT0ZNTXQzDQGehDZ46jA7Lu2dn1GcXjoEHNQWgKxP0bs/DjFLd5
lyGniCjiIzZOx8t0LPI/w4JPO7AgJD0VjhhvnNXByvaYRkKQ4S2/MouqRz3BuB53aFOQNYlOFtdN
aVogYdnKb2fPbI5JacGxjZXeI38Z/WHnO9OYhUiPnBfIQMtD3oAn3sRtj5ZyFlX62x16Ayq/obpn
OBeRChMwGN3OwpI9EC4nUvAjmkTYoTw5HXv02z7zkqrrNqWnRGmT8iCVLY+tVtc1YgmXeUQMkCcg
E1raXd2264vZDxd3AQUPKN2BoyIM7TzpPKMK6UvEZUhwFbbUMklRRZkDaYOsGal94Yh8SDYDBhVF
lAN1zaArsbEEfYw4Iyxn7Or0DbQx3lYaIT8b1TXzS2YJ8AiorNObDpggNrtejR1d/5IitePVzndT
G3LMU3nRVvhyzXELf1tiNoTi8bs3en5slKTaQ0XP4ZZoVlffD1j4QAc05aHR9QgeWmeTgzNXEqij
GoZn9Fr+EyA+2px42mpj04NRSAOXdQ3+VFP6r77XJQuHQ308h08lYrqGs0l3AxQwo240KRqoOK7v
U5TlSBT6utYYoqa6yItOzFQF9MLB29w6q3aH1cCZKkD0rUrqRzq6oGgyJFa/RUeURMdZuN6PgxLd
EfVXFBqxnoigo3iODMWdUQtlSIvvnCqtmiDuqqnfUbOrTJxQ1JoDTEP6cEyUjK5zO6WbNTQ4MAPh
Jui5HLEuz0aCLj5xI6sLyaGznsyx9R6aGXLqXsxm/8Nf4BwfrW6U+dYg4v77nNSmswGZI9ptaRpL
tYmTXkLhB/e/qRaVvyZu4l8yE5sfNCvqX04GnjwUKGh6Vnx3LMICEMD5NOCHOqcikFzrnizyre5U
NHFYksXvRWgtBgytMX/0SA1jGjw+FqVOWjA3KpAdgUEB69LovWKglE3zdDc4QqFWQq/m/eF1jtXd
2OXCwB3i0AjPS3um0dvF5u8sopa+aRk34SRK91FpWvFjSVw4N4lmTLi10FTqZ8jhbIJ8u8SHGlJm
43fOfnnEF2QR10vVrmKcxi3rQzSkyKtSfR6KgP8VhIr02+miyb0RY1UTiV+D52f0XmYmw4aQkMgM
Uxp2XjB6Eyfzcihj9wiprBV8xDQQGpM+a0eA5JA+RglFZgP126rxVWp0vaJsqS4yBzPSlvJYikrH
TWwWc3dJiMOQlabtTULJr2WOCy2UbVpoG3+OoseZuosKpkpC5iUntYDOPXasvKNotg0lkCTIgEO8
0N1TyZYROt+XvS55GsDj4g0RJ028W5zamvC063Ycwv7zW/7UQa6NFQNiUI4xAkZO5ZJuGCmwgy5u
hRfAWLnFNwAx2BqNwbJuJO2ybHi35kXtJGYbqGK9BWoi7TcJVSIJMbGSXZEmES1OX5uZlPHQYZBX
9fLdchasi5Zd0JSwZ9f6A1MCELKZNLlG/WRhOe1JeXzG7qJl4PdqD41XnCTIB93mx2D0sgyXeLbv
bHSRBG2RdXfB3qqdAuR9xi9XuvoraDOL5jYbKEg6Q/QnHjzcrh15YP0WuWn0BFObd2FbFqDdEVzP
Rer11m8Lj+a2qJb6R9nPNIKTyZd0Aaz2psg181Krp6zlU1c8u4423XgpijRaSFEHpxCp45YFJt+V
WcuHRbeSXe7G9RGkD31vt85GhIIVLYO41vrXukmXZyES+0Gr7fEcQVkaUyNd6ecI2tXzqFa0kkzK
HmwXMphL26psdcgWMT6NKM6agAenX9aTa+KXyrz+aWCT9BP8gTJolyz5Q1RXJuuq2dI5wEs2050q
OjqTws2+0/ukWgEhRe1MmQMCBPyCn4841mKGHpoysfSc1l3buE0c1AARQaus/07AR3f+E/VlyabI
sBoDq6ssqWVkg3G/1PREQ1nOy5OsyU3G9Srmq4y2B/rDfOKk2jOEcE8DumzvJntc2QyIVh/k2LAy
mxMe33TjJqJOAmXEyt+BEKSTRU0s+tmbVvtbjSp/WEMnoKcYvdls9KxWj7SLKewgmhbfGbTuA5LJ
5ozvXIzkonQnLUQrUlYh20Hph+TtOEgeC5hNoTt6ND90U3bJLkJ1G20zVDRi4ydFiqUYhc9RKn1K
91qmwUTBz2l+B5PCB9EptQZrsbYgpcSamlyYiW61MLty84UCQdMjsm1THxl2mb1IbwIxSvYOIGvp
CJr5aSnTc3vWp2JLa8i/03sMlAdbmRDEMPur+y7iP0Q7moyPpFVkhx4UUbYhKql8nnE+33Hi8X/D
854fDLebF1h2qT6hLUQ9HfLSkCsrusbPUTHQ+uJDsAbRFJoZH1J/rG4VPP80LMg6B2KkJ9a1TJSN
C9CLMh3zZMz67g3x+JhWTl9vpmRmn9ZlveTHsRGALyp87abNYrZojoTfM9QxSxIEnvy3nets+GgE
NrezEZloOw1zOGvaZtYR4QweWH9LpP4eq+q6TSuBf21zC4QicqBmucm0iF5Tqtzmt+4YCUcPLPEp
cZZqAcUU0yr3Ysc5IChW+yn3zC3pWFUeDGhgDwAkifp1+n64IUeA3Xk0KKQG9aTsPNRNNV9rdMNQ
hZsUZG5xOaMVjhYELnxJFuMVtRYxZAkEyk3jmWh+6b5SNZ/KCFZnao85zLexTsZDnY/TlqysdNpC
G6XV4Payf25bdyaXbtB5phGL6Sv6J3Tgdm9IZNP5UoWeW8IarEsjdXbO0ANsjivk79QGK8zGnZlX
jKU2qn8ObIZQbUU5R2Mf0XwODACpT0AyjnuZSZVbO5dmPOsAO8JN68LLCzSoesgol7UEp826fosE
bRYbF5GuhTi6p4FR4ES3w1HK7tJFWNBDyFoVvbkaNgTmJGwkqccCy2zFGFFBs4ZXJ8ajxLFHGBCJ
kOvoMEuX9jDBNCnCpLWidCMG8DM0rYfpgdCGkYimOicFib3+EdUKtLqBg/JRVgMDDqOBfdcPE04+
eiJPg6FLTghMTZqRnZx+RCb0EpOyltwtkv0gzYPG3Ckhu5YDHJ/qbaPZ0+3aZow2nZO7DzN4cpqV
Ne1Wil1gl3HWjZyAwBv4ZHSxL6gDPRumO1QZrGxLahs3MWCG187o2NbLKMk2rVWWf3yrU7/yJPam
q0wtzbOoMlxFiUsXdc9tdm1Qy7opb3tVWt97lENQ+e3E1jYAdjqC0lqfLEu4cMycuNb7fJuswFZg
yZmOu1U1y5PqWns6N9uJXpTKJusKbKooAlQRrMQFUtzDgsuVzzvD3tkokFsRxs0ca3uXIs4bvdZE
ozUtiPG0aW6/abPpDyEv37guWgP1lBjQphQ9yPqw0RVULtxSkNOyIeHGKz+58FVck/cGBYNdpceC
jDOrrh5wQDhoGrsp/yULw7+csqq76JoaFZ2UrUNGb9YUz6PbTrdjHGmvmbfmus2aiPIzC1smKoly
MDFrsHO9XOJ1TRkjxFlb9knrQSVHp7Th0OntTemqZ9+tCnXQ5yo9dpaafqN2QO3uYUV0QgWiOw6X
xqCkAMM9frF7S+eF1WTROeyOgHpID0ziUBhjvnWjhQcqDc3lqCx17Dukr8mA3xRbO76I2EMoHGrZ
riNt5JDYkra7I+z858IsFvCS+/KiQBbMi0uG9Mq0B/tP1s72q0pNjC6p6w4HNm+c4KbRT7+Ziyse
TaK7VlVHGUUB+IHsemaz4MOhU4UKIJonx7ZLa/gGmWP/kbnKEHEgJ4mf50rYlJ9NJLDhoFr9jNoE
aMK2jhdov0bJ1nHKs/mIMTS3OTI6Oka6TDZTUKcqK/Z8WYsi7FZMOyBl+u2owFrtfMKeyF3FScba
kw6ck1FppQtbuOZXZyYZYVh1PF7lVr78QOLTXah01uAgldoP9ADU/uwJLhAaNr+CrYkXl10BX05i
oMemlWeIEWEPcGJsfrakHrrr/J/NoOnquAiQQcXelW1U+n2FFGbekt7VUGZA84Vyz7PLTeevx+QV
aH1XKFXHpPAVq5y8NbJHmBn2d8Ukno5lJ+1X8u6WO2l7Zoxgyk4yTlOxA9ExMwS8RhF51F8kJxA8
LLN2Dr2ZU2QNwOGRVKLS36e2bdShVfcsKQmzIN/QLiwYm/Y85MfRGjwAhnnKEx+S5IjUzDEC4GmS
LWnVWy8usUDtxqxtVSGUdcUQuk2bnSk8NwSporGD31TDZaG8MOnIfTrfgGkxUnLbqCyjoVOsqLo+
c8iFaNEQXtH8QpmInm8GANwtkGhc1V7LFPFaoOdNElEBciobGSoVGjScZvs7BRNtIVYUTrYpJ72/
LZdYS0IHpN93Oj6cTNOx860jPl2qf1GNiHmr900uz0imYSu5sVvOlxuhDDgzMx+bMeRPve56zGrx
khq0aaBizhofw6rPnsykq3wa8Xbrhk4ZFaQSxjMCqrbW6nxvUOj7Q9fMu1jY2qsN07p84RM3XSgD
83S4liQTNhwj/qlKZpEgriMS21gXThXaXV1i0m6NCKWOY0c3EvgXx4PM9OQZ9ZPsnAPFjNKs50AZ
SGU7y4WWLiPGmYGaAm6bBuQq7oiU7f00+EZ+DwYsq3Zjr0ERHFx0Mp3lcDiyvN4OYmtIxq0zm8ML
318SMX3XTC5RPsfiWNaZWx2zGiz6hiZCLbZJvA7KzCni66LOpu//IYBf6hUkeGrulrhpBgISRi/u
rv4Dg9q8OOVIm7dAah3qfLQPbUGNZPd1G+NDkdylWIwhei0XO6b5Pr3Kka2KlnEVB+WaTbGgry40
zepRb7n5lSy16D7KHHWiofGxi8NV8V0CdwLNDFnnnTIAnVqs4h74WIGpr0Y3BIRmBJSzb22ZbXWt
iI6GKdGzUgoO02oycRnhzYtrYf+7/Qh+CS1LnT6WTa/AedfK0oSnaisWDZauHmyU7I09hNPp3tG7
5USL9EODZb2UR2cANPTqLX3XYAGf42itzTqHqs87RxUGdTjpm+PXL/TTq/hIXyw8r2TVri/8rx6A
wmpsSJedvhUbyxZ8lHZf1Xl7Qtrx8SpsRME90ODg7bEsvb0KtUOqsGvntUe6tqusCJzM2nQw/+3X
Q+9rfWIEQBCS8D4dqkqKCFNaVwcT/9JBrjcCEI8S4Sov/vrBfTIT2LJgBKZARr/tH9zKXw9uJh1q
iuTat9ad+GxZ1BjAS8nOcdhRT106f9u7rXuij/xZx4YUCJ1gmLXnZr9rI6PxThr49UBWWg5x/cAG
fcyks29F9SIjYw4VLdYAnecpUPxnU5CHimLGMvn2o1N4+wZhe65lxWzdtawKwhijL+0QrxHn6Jut
C20yKZE5GRyBpu3Pa5oy2A2R44YLPogTT+EDRITlx4XrZDADhUsE47uuoFAl7ZqWx6C7eXOXK5yu
5kBNjYyz134Yh4tSs1SgwF9tFkDlRwBOxcG3YVHnyXqAG9Jm18QNKYO1K2/Q4JjHKDbofqD6PLFg
fhj5HjNrnVeuiYrNfE+SwBCtw5/rAa6Y0/RQ+FMSYm7ID18Pxs+u4tG4RFmwpqu8z8dDIA6WuiET
2S5N77Kq3e/YO5rb/8FFiB/hLhBqme67tW/omVNonTnAWLl9GAGU3wxL7Z1ow76LIkSWxRPz0Crx
d1iCqFTejjQkx+1QovWlIdrbV5hdqbeyuFywxdY28Jjh9frEPznKTm573cyCRfW55MAPhCzJsupQ
CjM999SkPWLi8X5+/RA+MFPWn4co1DRdl/QcvP1vfx7+99SMOAtBpxR/AE7L576Rd8641OcWStmz
Qs2AREVPFcQd3f4SuF21Ndx+vHLiGd+6PVE1NbLx6evf9WFl+OdnIbNAHYXIR3+nbcE2T2iUm5CK
3RjlLq5TilqA8vCdO/nZIofXuKjKnTH7v7++7jrv3/SQeUvrkFg1mpQ5vXfrAgcQD2grgyIHBkCR
zGPvGFFyHXUicb6+lLHew8drrVJPgbuXptnbR09xd9AWiVFS5iX91IZAnxLf9LYsaBx3cw6pLU79
K4AQ7pXwgaEW/qKdmM//MHHe/wikPIBFkA6yDL0T0BT+zE67oytANncUoLokqBl5z8bVVcupds6O
xjz5Z5R0pp+N1pk/LH/603aOgcyHipE0teQ691SFBUe6N2hOl4mUD+ncJzh9N3HTYlht+2YyQcFl
ghJGSkKeA2LtxNP8ZMDA2SHAbU04tK33L45a6qw3+J0DCTPzVcQplm22zlvRiepucSPtyaC/cjmR
+3Bi+V5f07sniIly3QwggBTQ+t++RlwtXaNTTAmIYulfMJfoex3h6x1iHf1Ozv6pqfHJ4ogd00E8
soZ2IgB7ez2wXagoErMMCgSEd2jZ+uu5Asv09ej8ZCIAtjItdgSwPoz36wI6jjQzfLqvFS/2Xq8s
yYoVp9fkvRsn6DnvclP+WSL5npC4iVrFQUj9bgxOHW5P0bfI9TsjCWCAAgRv5v7cgGiDqymmXzfq
BgV9nbmSms2+HctvRhpdsEuJzs1Bnlh8Pj5h12DJYWPwz6bLfvdlaAoZ5z3OzMDWjGxvK8RcDfKO
E1Pv47hBmYNYhf0jSw6ioLfv0TfjubCYQwEU9vQJ7KgIAa2NRI1a2lVdUTT5d98o1yNsi4UGN5Zr
vltSbS1fKSxczzYr+GoEze2owke7pMbI9D+41MqB5YouQ/XdraWUQwsilgFv9H17FKsKacm96ShS
LztxqU/e1SpEQ06/SiGRxL17ijndLLdgxAxFWu9E6dh72O+n0GKfviuotgxTpFS0Pd9exTMSTLEj
NxTRXOQ1ifa8ohYUdJNNaw7y6IkN0MfZx5P763rvPkPuRJ6pB5cjGNp+uZeON2xQk0OJm8pTUt3P
LoX5ev3QkhgDdeTtrbW+ikbN4NZYq0F/E9gWqK5oz7U+PhWQ9Nml+NARQovIjsLs+pT/OmPE5ggm
aqCZlTWdfRw6LNIWkShXtd5p4dcj8J8EzberMhp4ThTkbFBSgizz9lqlqOgad+gJCNgwXqRTo4a1
M++mISgp20FZcYIed9Vjbi60uFU779bt/o2TSEzjopHlppKRF3YIzOmLdA2GMETjJ6bkx8G7/kgG
lYFwDb/Yu4VG79g3NmsAhTPlTTgZUbSLKS+fWGg+Pnb41jge4CyxqUZy/vZRULBHoA38PTDRYOwT
AEtHSXxaaOdCnrjUh1Okh9vFZL/Ld3g9sr4bTHXaOwX2g4Le7FLlIe0U99vk0XqcjZW8pBeuEQeD
N5/axX6cn55Nf47vIn9HV/nuupGP1shmMx0M+NOiTRXHitq+0R0GIzrnwdd3vHx1xlBfrszBHs7n
3K33mFDBu7sIw4PMHdLHiXAsncbKgyHHU+nSH18CgmfH4VdSm6Da/O4XxqRXNNgsETqYXn+v6XF9
2etUEJJYOyWL//gwyNTm44XnhAWYc/Xb9y3LXOcwn+ZBofn+D9PMvc1A03oKW9JvbiDyzicm28dh
7HOGYCiDiAYY8X6znjV0aGSDIBl3mnqEXj3fQepy2hNL/fq7305pNnYW2a464DIT3M7b+2pEJGoP
+ndgUWo9g6CFfK2n4omuzIOU0DV0EIfRG48aFdqNX9Ae/3pR+eQ+qcawU8asrXMAXv/8r/Urh2jp
myXFOrbRPrC7PiP7c4rvv77KJyOFnaRLF4LdJFD69c//ugprZIseocsoeVvDXTcPt/gfyu+i4FPz
9ZU+ux8f84mBb4eP9IqH+/tKs4y1dNQGpB66H+2iphxeXN1vHr6+yicnYPTh2BRQ6VPlMd8zUpe6
wZBT9FBQtbbfQuSgc5J3MJfdOcrCNPfjraOKObRNqOEkbfXbyRl/dUJ5+wZ10472OFLBbO4CohtO
7XM/G1QMq/UARsQqh4e3zwAhS8SmC0SrlibqWqGYCiC61uGi4ApR6gdGYTpRtQMXh+IOQ8SJQf3h
HfBcGDWrEQgW34d1gcWxjXphRZssG/LHRPPzSxdOw4mrfDzms7Vmf0QVYvVrsOF8e5s5NmvFBzkJ
Vn77jPyajPNsjNDogcdUcO1y7+BnhB3FBvK0bZksP20jGfY5SrytlvbdttUK9xHEgBH+Mzz+v7v0
f60z9793lwbL66/kLbNn/Q/+k9zo/YvKF0VyLC3QEaGd/l9zqWH+i9Th1WtJm9Bfw2X+H7NHGP+i
dkvujIsldT1VcUb+T2+p7f1LcFrkxbPJI45QWP+OtxSk7ttFyuUXkSRtU5zmxMYWy343beY49zTH
8dcOfO3d1zRkca75B4rmj1mlqSPnXqgXGcSvlky/oO3dn0Q0eTdpqRNgoPlZ2Hovup2TYJBu44mg
2cZWFwNZK+TE2pdLLaorYfvnbplVcHpGAsWogrjgi+mz1UdmJ9BIq6FhO50XrQJJb6ABpK0msmLj
12R+1Zca2ossqS99Uf5wSv1XPUYHu2v/KM1njllnINjuEnPY9fY2Kb4l/ms9nQ/+t27RDyI6i0cM
PemFQdaWtK5UBrNa2ugGqplA3/0Kl5WW+OU3L/w6CjWXALqI+qXpUKblTQdUEqTclkQOgnTB3ldH
cge2JOiRkXCuhApcewZ3dr8UlyY2NbbC40Zov7Jcf1yc5Tj6y5XnN5tJlgfNfxjhXrD3uc7a5xVs
SaVoA/APCC4a5uQMKuPlbAetk+7RN9tUZPtvcdnseZarZtBPqXpcmd2Z1Jeg89B+KfGqxSh7VW8G
JWrYwr6ZNQSymnpo45+0JACKcCq9j9CDFWZ2MOS0m0lVrZzoZkyw0iVQ6lr9MrGbw6LHgCI41F+6
hO1qov0VTfGZojMIhI5m/zReuPp4neBhRxx0GNL0JW93U/4TM4K1yfVVkV9sKi0NTXOfxqiXKuPg
D1pgadc2hLWAvn93xD2Z3cZcNiEbMbfQP9y0cA6QPPSC9NvxpujOMqr11TDsiGyEepf4yTHp64sh
Nwjso44govaOeOTANW6iim6ka4U47m9iZ4Dpn/cbKea9sqqVtcg/aXP5PKGu2rjOfBvXkHEhX6Dq
gRbtLTu6Y34w6fauGfU7JXjIC71iAga7wMQqYS/GH0N/tY3ODQkEu5yzb7oq9zEyV+VS5RieINOT
eYJVJRN0hTNCBuVsPqpoouRIbDmainJGlLQcfbCCoqvAfUqCKlR97cyXaMf/ZO50pfwirFoEbl29
jzAOiPy5bNpw6EcEHeV52quNDWeNzAI5htLswl78nPviEcTiIaZhXdAzF/pwo1DgETqCO6enFm7w
MU6p+vxOjGUHTu6pM/t7kibwig6bYfFCmIFX/vxQIwyzU3GLZAytbnEsbO0wWuPlXOu//EI8k/7x
K2u/g11RBAJE3YImsD3a9TfaSGcDqqyyum6Fe99bZENPfgIBiGHoDAcvj26jofyTxIK3QqcrsEfD
YJT3pKeJq34ZYLub7S+/rc/AK/Myuh3RkNibkWhMGvIHDnEAVLNn0teefI9Jognrj/L1V7ykqMq9
wafGyTIRpVuysc9Nrdj2bRxmcXlD7sNWn7zbCUjJrhQLnVEYPTt8W/dokp59kS9hLHP3WpstMgUX
75iQDRXMpFSEs6fFuykprifXB18ztI8o8QKER5e6Xhx0Um+q6nlptqkQ3/OoOsiIErO0ELv/MiDW
IpVeQqeCQ9skL4YnrxJsLCY9aaAeS7rJC/QKKYLrQI/s5broxXTHOjqGhjtfGBXTmnLWb+wpW+ib
CIjNc7Nw5X2daBeprdtHFnR7L+fHHtneYpvDjYxdUupKwFG1fZ+75sZd0nRrd8jSPBSbGz1S90Cy
oMDM5m2pqmvZ5HsMGUHlTN4ZqMt+58TNcohaBGK1oTm7JWFq0hrIyC9Mf+SmOsdksu3r6NobEPJr
+YVX2/ODKPWntphv8iw7z1xxZVQqiOzzXotRUA3pK86SO+iTNimDzmsb0RJBoeNx/s6Sg49dYDsW
XnbW2uUUgl27oZGjPVudzzndSTzcIQKxvJoxmQ1tJncOJj53ZjbZWnTB+a+9SiUQeLCoatPYxYUr
InmIuhn1ZDNX3RWamPQyLdegBb/feilAJMRMw9H0cCLpjfWIMrc8ZpHuHD1yEu+1VvQhIi0iijT9
MkIv/r3rqa05DiFqbdeMOzEnzS0DJENXFqcXCESm89j2RRgrG2xQAeSp8hq5LWLImrREl1DOTsRX
McupZi+Xbuvv5EIy6IzjRuuTfWxpAcvaL6GP6F2RToFe1fP7mFjtbdtD5I2TpgbT3YA1q383XQw+
HGyU1OCwmXeIUK2LCJNwaLZNv21ZsW7wHzBtwApVV61l43tJuuGFzSjmsMKejSPHx3jDfkSw3prV
FfpdupPLIK+pjeK5cR40MTXHKXNZH0l6DSZCGtfPX2z+sCtdDxPPDP3RKs/yppv24M94yM2mRBoG
GivPoZpV9hZCcYkHLAf5nOg7MZLN7PrJUwEYbaYnG09Nf0S2fp/mc3Vpu1n+qyOxnOirMTuLSEff
1KXwAplNTTgjmtzY0vd4MoWxH5FF73jubAsc86XMMonI1GDAEtqy02p1I2xt2IqqiAKbJsdWNGWH
Qmj9f7N6HT1rW15XlfnTwte+F2AtAJMlh1J6D6NFCLDujYFVC3nR62wU3G8mHdQ9QnkraLMJFl89
v5hZ07NKTHTyUHkGuvLmQ8m+a4/HKgo0eTlPex1rRbr8ibt0ZXySe1o47dNSVb8HJ76lVqNvE69k
NTCLSw5Cj1aqjiqeL5PSuF00d2dZ/5uzM1uOG9my7K+U3XdcAxyzWd9+iAAQcwQnkRRfYJREYZ7h
mL6+F1RdXSllmrJu55ssKYGBANyPn7P32uW+N+WTaAtPQyrN3OrrZGdvVUOVptA057YnSb7j0Lmz
HIlwPgiNM1gKTwMTDCHwmHTmzs1agKmohbXRq4pwO3bxcQHnualauctDOMdzc6nM7OhOxS1y5TYf
b0Sk7In3uVZ1vQt1y8dYhE6Kwg1xs69kvBpQw67ceyqIRxJP3GOdl/ZnxF3DaRmWCOUZGAQ/Vgft
liuK3HbkzSwYBtUOX3dLbsFCzNAB/YKzyyIxBW05TF4fV4rOZMAoE79vFiZKy+jmvgFzA8lRN5j7
yLaxvyZVkm7NVnOPTU1szaro+JIpFJCxGlanobUymjC9uqvqJb4HO8HOGIsqD7qhUDx4jOrOinI3
EAUEq2HoTV/vBD1SQNkEXDfLaUCO+qDFbrqT42LuZZxp56Gt0jdiVpoV2QqeTlmokjrk9I+IIXGu
6KD7VzOebiDimoabKdDtNrWp7tN8al5ag0Amg1SfbKMOK09bKUs8V/X8lBKMhT/IlEeE0Ob3QmNE
WvVjf++qyruJsJ9qriEfzentZjNFFfVMQZLpNSV+NpBOmTypclQPOh99M8SqfY8Z1/bSAcUWgW31
HtsFcarKQNRYKHpWvljH5wKgd9TG4tgmgt3DbvQ5YP3Q9b1e6/spRzAyuMmr6LrJCDSs8C9aLpLt
Mmixx9Q7vcN+hzkHwhweJAuL0yYloO0TWmz3YCjlwpe6zgrbkDIF+9FWKzrlVGb4N5fU1V/0tAhf
Cx34nK6POLQBbVMq1rP9vpCqu1EawLssTp3cjXYhL1OppK/EJzuHSTNhQIqxIE2yJDLh24IQej8N
aNmUuH/DL6yyIOqKZyvSuIjKeUhcc2di/EOSByjOcoKmFR59umMTDavhZCp23Ek8NJFyCcvq6rTT
s7EGis3jVUwkK+P6n6YT5XvnEey74FpUME9m4ZtujEHOcIYE3PIMDevsxuyAs0OimqyeMDx90vMF
Byj8FGNieaqe2FePeuf4Kt4Vb2qxLJAY/FmRmraxFC0gCbn2G7Va/DHt7gSuC8BmJUwCrBwu6yUN
hfCSi+pSa/HB7d55Bivyh8fad63ouUKFXBfhrQMYQQGoAiGs4viIrd/dZIIoJ0Jeom0RGS/LCDJe
DoKbb7dbOD9f3MkCCWrG5caak+SYzkb9JESjggZdjKclT0CV0pXcWPQXtvDZRICYtPXqtP205Iv7
kGUZjGJipbZ9bh1JCPFkYkdBGObVrQEcs6kzHvzVMrZR7bD2wcsdI9sIRO0+zNpblRB9XkOQG9pd
SGQvO4pvY2MyypI7k07qBv8yRqZpN6HORrjbe4OQgVkt0abp+GqJSjcgEl5dbfiGtXn1dPUlhk+1
DXL8z0R6qaQbVT3BLDRGsFDbFrBydZGDN+G48FDpSE9Sh7JPKMUJ3vaRxs41Ujp5LFV5V8coihLC
ZHc58nZMFfGuVlpcfEaIsNDCbBaW3eTnTBg5qLR2GbA72JdsMKmvRJTszUTXX9SWJaGLLQufYdZZ
gVGo5jXvSwz8Xd7cYoypPkrbBJtS5Jw4yvESYPwoAvBwDDjU3NjjVYsJtsrLT5OiuL7BGOsuB/my
7XFbv+hM93eW2ra7PqwT6KnL5L6s8Ng7C1vBp9Sa80fblGJPS7wPSMoizs2BevcizD6/xEOTXvJS
cR/LXAHlD0JzNcdqFseZsTkQt1K8jLA+n1ahxvtE9OyXgfri2C9SOapWrHWBbLT+E5Z3eZNZmR4V
LJVviG7xtw7ZMOyMsiUG3HQLF7i71b/2pggfM9wvD5ok6GczkLAN6TBMiiepz/rbYhlx5tGB1MrN
JJrQ010guTLFeShEaT+ZtFUDp8yma2bWKrFFCUcwmwfTsgvtMYRr7kGMUS4l1pZD0drNFQCnCU7F
qlnq01zvyZOD1Hhm0V9OuLY5tTlmW770GfukZs5EFait8YjaJn7FiNG2no6j/UW6Zi8CY5kEFr18
OrRRSvBeAeNHMdPD0ivJYYqStqeD3YqHScPbxDlWmp6AK8qtGdiYnc7dCieJn/OULJnGKqM7Vwzx
d2kg0t10kYHnD1S/5NEi62C3mA3cglBowSJtToZwS+cTfVb2BDdzjh0MeMwbpQ/FRPfTsTzHPLWJ
Ox20tbveLRt6lp2HIHDcGL31VCjtHftst0G81G5DpKiYNAifiDnCZKEH8jbZa5NCZHijrCEUi/YN
ZKu10duQuAg92RJQXnzMMumvJCgckrAY/JIDui9NpHehgqbezV6h0+c7YcfB6Bp+qrNm21lyn5od
ERHOSNmVfS6ryeRoLl7borjiKS95zdXoyUEPt1FNcg+HssXybYsR/M4ynHKSNYr4+0KvhJY+Fmr1
RcbkpsocDKkmNwLX8qYVy9FRw9Drc/2IyRP35EgoYZGP50rkwYDeH2ZfArGw8DiNrufHe8fOmDAs
47C3Qul69Oit5VNqLps5p9tAP8nB+lTJ+ElNepoDelVBc10Oql3tzZYxohw1gLq9Vl9E/dGL2wLS
ejSncUOEw5Wuh01ku2UCHkDxoIx0MuwGy5fjue4paQJdNDnvEAFJnRp9pFoZpIX9UU9J/qkslEs3
EX1sr4AatwiNvSY6qmzBeYqAixsnqQO38psCpo7xSaj4UUciYzS9W8K6Y5FjjWdsyqf9huvWV+vX
UMHVRvPaS0Mg3SQ4gwRt1kNZihHXyTNzh02fX38NG7AU5bmPOr8rGs6kbn2SJLac1MzSgoaOcxda
rt86EZDMrBhwFtMkNEO+uzYKDOes50GUpp8bS7tFWf1Vid3RY6IIJEHJZqZZzGOLsjKQKK9+grzM
/LYqZBDHNFGauUY5VRUN1hHG/4WouvsIvyZLvsPSAndY656yajqH0qGqzKrnFn6kWzvvwFqIqy/L
ZKep2WXI9q6kK9Fj6hfZctFadRMjBYlT9xKFqs7UuIdCk8IpqMPO9Du9pt3izkAv1LN0IUuxZo9+
VHYnI4HEqrWV65drSh+d3i28r7NKH8jH4ZW+R0vKQ2g11ctSTd/h3ZrBsh481TZPfaI4r1lvHF0A
GjQz3qFjq2cjss6yUwi2AjNzkyXBo9OoTzcG2PZurAhejOdThZ9SJui5mdh9xxnOJmO7F4vnYGPb
j25bV8/6uGDeyenfjko/chtwIUxD2m7UuMaZAUf8rNBxetR17k0Ecmjbd/21zZYd2vX7oqSkRzj7
PHPW9pvFveoi4n6VxaLSkgHHjbokKAb8c1X0Kav0fIchxTpZKA2xfcSHDtW0E/KUtvF0p+WF+VTQ
XkwcXQmiAgSCkcf2rgLeGohqTndpaZMbklTOvRJjlhqjO7EYR36TZ/bEi9JBj7addxfyxZ7xOUth
yt4I9Ri9CUYszSAatS5V31SYfoYIqRGpQ1XJkp0Ic7m1gF34s0H6IBVPQ3bXG5uVRm2f+AOtoLPM
NJqognSSEfDt3ZBo9Y3S4KL1HaEtvBfDaOgeEXn3mavYzJijD22IM3+wlq/4asXG0kiRmHIItTKr
7hW9ZZFsoQ1EoMvurazJqD0quVouByfoskUca7M2z8QXRrdKEcm+04BbJ6OkJzOXSKDWDD7amLkV
4mitrWddZrtxdmA823V9x8azI4rM3WuLY956E3RKyRpsm+lNs4pHAKusV/q3oV5+7Ep8I+Hc4ALF
5oaUJgPN3Xwy7SnbRwYr6twHqsEhAjVqL5tn3XpLUBndoknVb7E8AOHwbHE/EEWSq+8KfbhHp4JB
oVk4TjRMixtOXsbjLOZs5/TL8FSGWIkWZ5K3tNQVbIPZoQ0X9WLGEr5O6nyWTkNhmOBnpyVGm52F
l5QLjkxjHqGArLc1E2w+6VSfUxXrpQujeSNFnJ3iOgRpexuEOR1TBSJ6i0kYlgMEZoVGaQMloTKY
2PJCpBZhLr0y5xQqNGVlc8jc8KBqyoWozM2AKaMmk0Ykn1byGiIcsYdrlPqm2WPc4UBM2/WFmNYO
7A9JuQZo5m2HeWL1dO5a1tws1SChG06zFZz2deIOcTJOtcW84jVrejKomso8lSsrJUwkQSOGG9Mx
oOyq+q7DClgQdjXM7IMpsZ9K401V1vjQEmIGJQsxnwK/IU1uxTyqGZMJQqTUoOuLryKyT1lTnicr
0g+ZzF7bOVJPg7TaY5aNh4Joon2qFuTQhOBvNkVNqJK26luhVX44at7vRiHP+XrblYK3RO+a45Dk
va/N+MyEzr1sv7gEhJIOEE4h3JHxPDo85EloHxnTtEHhGIOnQxw7Flr3VTJdfEpD6yMm92OIjKOk
gzzGpRJgxGVHitwR95Zkkyx7VfOmrOiwbZvvWQ13J3MH/al2xicegztZYIap9eiD6kec4RYd9dEy
TxNhgdGQFls1ogXszqB1Sx3v/DCFoBgyFXsUflKpjIeo1sutWDhAVoV+ydLpTtjazYqiF0Vi2y6M
YmcuUbprUgE6ew0SbKgF8gKPeToejcLCESFckFKUtjA8OMpOTKON3PSLIgX3NBJKlV5iebSLvZ09
ldkFRcKNYyruQzsIZ9IWzNbKAxtYTolqocROuwG7LLyC0y89w8Cp2wvAoNtgaGRO0M+EI+X37aJQ
3JCZReDLZoEjGrj5hwKmuODBRxIJLnjCqoxdca+r/d3Up49mX0QHU443DS9hO5J4Y4j5KjPGRo36
LbQSVvokwSCX9NE25QdutoQMlVkQpBcTb12uz9jU39RW/U6pvbcVp1x9m4EyO49uk57LObn1ofxW
Gol+djrD3SQwi0mnMMfbrESnduYEhx3+pY9MldCdio37Wij5vRv1G1qF22QBr67P+7I3UrK2u52F
yHh0O9fj9idbbQTS1cz3g6Peava8Uf0Ef4ryDtRGMe6KrAO6nEd+0XaPfK0bCqViGw4USV3o3s3Z
+gK7rMyYgyOidm9GtZzkjEGCbzOKaIgBWyGFI4y/iTiCvM+pV6iCBnBeHSLTfbHZNjcoh692q3pO
dGet/XlNeYE/jfdvJqakwu7r6Lz8Mq0WSPa8Uni5Qi+Ttnmgp/LqNtV9NfBZpsk9lJJhVLRrFjhS
MYr5wnQ/YwXfkEHtjTrs+V5+G2L250b1WpMgg6vrInu34tVSd2lCYjAIDMk5NdZE1ufa51xo07aw
voxx+Baxt1n16C+lD6TyaW4vVqlcjEkemQdvHVWBbmXfCEc9EVlAKlSZppSAybZAsOG39NoesfX3
O6MSjofYl/abxVE5V5dHl8HuU9NN5iNILSQSmKqe9GokB6Mzo3DY0LCqThyWjwZoPo5q6BYiyfkO
7f7o6TzFKecPOtRG58F6IEJlUQ5QOKJ9ozkfLgHsWyhmODzFAtimitm40W9t0qbdWlmhbQXpIFB3
HBQZHIJqMPyHpkg9d5A3OF1UVOrsUgfmZBtXyn0m26OSR/ftmk7rGLeY4KZjGxc7hK9ABdz+hPMm
PrqGMgZQ+F4wg97mljjLCFN9nU+2T/vO3gBOltu0I2CjUKcTgBn7EySN76Boxw1JaM7Khospyt1H
mxXQS6qeJleZGztFN4jAEv0+NXKvGpaHQsBD46RyP8CPuI/7mAEayYD0NxKKKeEqZxD4QZH1t6UR
mxiHBV7MXT9/7cPmppoPZRXuJcFnZpFzjmuZCOdVIDqxw1SPwKreiN7lPPetg6JBWb/vnYyVhaXr
kKRpUMphh4Y8SGi3NVHDlNsKXGCslUYedq16o3lOtWFrVydCULzYeLKy7gY06hzFzTURikde+sbW
x3r91ozPrl52vuwyY9vLTDyTKwWoi8xWDWxTiN10kXw6hHlBYj0RmrLN2mcjnwPiDq8QaoKoPaS4
5Kczpo6dEX11OYYDesGDykaCI5UtdmPm30W97raIuTIXSFbyaq2JAP3X2AhUvX7N0/Y9nJU7dVy1
BboXDStWjQ4QipW2P+eZwIv9jmtuW3PcTFmGmz7Av+n3OKcKmjK59bko4GNiO8db426pAY84zLza
JtaggSfzVDeVZIpP5y5DFL+1ZK4eFoej9iasLfUhze3osY265q4saAjWOFEOXau4gINcsRV6m3xB
SmXs4K7ljGpYh7ZthyWfSX2VbQh2IxKDOt45ZU5orFoCPip6vEtdS4iFejnu+gGoUFWUxjO5hBze
po6lPhX0E93WyHxi6W4YcjUiAniDzXruadzm0ffOsKODmrFEp4ZavUii42bq1Xjy29SpH0AwEtuX
p7c8Iq05S1LM9anhzEdwIECzBJA/yoGniaJ+G5W5p2sdgzwAh264h9T0mLbKJ7sHZkQr9XNIZjjB
Bky9chZRnMT3nWo4bFbPDMyrXTUbwCxGIjILjgllomzxIEUw5arwCJy48bIw/ypS645h3TNizIOI
4+8j2s2+w8XeI1Dv8eJRsjz0jnN0Q/q69WTeXJteLskEN2AZdJpcVGM1k686fGWVJ/+okvSEdQ+R
CQnCjAHtkMCURuVtGeN9zRTDEBUpRnp/P4+TtXGq4q4d+/3i6tcoN27ged4UYT7oo3JM9R73dbtL
zbGlRzBmfJWLso+y9C4HvEpdGD1Oanos9P7VYHeFHrKwgxuxua9zJaA/Om5cI34kEOGuUPFsK3Sl
K53Mvol5I3k6vZZdwrCCfWXLL2b2vdWkslUp7recUlGS0OLV4fZsOIl+72P6WeHI1gblCfVC7SHx
ymHgUZzmoCpjJb4aurx3CBIBqxLu9Cl7k26Wgm2pP2QYf9HVivIaiGU7iRJUrLLHoN1vxnjalwrJ
JAZpNkt0dC3GPkgsmWhHJ1iUzxSGV12DBAVX6W5SMZbH8xUZ3WYOTaCTRXFOdbbTSnd4+9qIHsG6
JmuAsSBwhOM8b8qODgkADxLPiRytF3vnxMNRM6Z1oBhu6tL1VNSBu9rkyBL2b3NdkC/fsfeT9q4S
l7ptAAUQv/Ag8WAQnfJWGvPB6OWtL9MgolcRxvV3YShqEAn3aQVAjF0T9JApwEypniGbHfkW+t6e
yznoi0n3l1QAdETmvhlz4zpRKZLUeDcU3cHC0gu6JHrXYoYzqqW8AcEzaDNq31NtJi4n/TH1polM
Bkw8abfQna5CjW7KGHpW1wPU627l0AaKPT/Y7hdXBkmuXhkXQqrpMx9MdsIBhuSUccXQKaCqhn2e
Jh8m41DI+I3GO6lCnhMkhSraBTjrxuhosRTikNJcm7T8YZaPjn2YE7F3yuJ+Kh5FRpJWb61SADNi
TGa2Ww6pHNvC7EDY9amZbZgoo4ByEUMqgGp6shfSRxotvKUJgFQwD8tmgbK5JWhYo6NMcav23RTU
jb1LCcvAncbJ3QVypq7Y/KiwvpF/eEb68WjKxFcWrdhUctA3Kt26vtMZyKQzRgX65hBQUlIRezCi
8xGwyreo7Y+Wqz0wWvPs1LnQ4zhyXJ2ZhzHX5Hy5qay22kZk3ez0ZvbsstrNtbkDrgXbKG01L+2l
2K2S/k2iDDWPHBNIyjCMaNVwlo76zUihXBr6p6YuvoR2cZrd4UPmzTdFCXeqDCPYlGzfQrZfeye9
J2eOXpRsHxyTanuwDkkNyUhEZzftGEPl20nCgIq/q9hufcP+AKryCd7PtdPmteNViGubN2f4Hrd4
XNRtAQmmHtxi61asoxIPJcQTTJITEpc6zV8pcg9q077nMn4du1BnDmGfplF7nofme8kgFwpPodD+
Vp5UXm2NBtRumT8WswPeUbFKRsLZSsd6p33coEYypJ/EzR178VE4853jxDDfjN2qyrBzLWCoP3pG
gd57kdkCC9deuYTntCxutOxsoAeY8N2xPitAJFcEAnJ0bf6eSOZWLZVqP5LikqtMZvOu9iIlOrdd
vWbuUO93op8ZbUAntSUdvAruntMMKqAXrtRo0zGJ8O8OBp1btCka+ln3hhdCPYdZHBOJUBSfOivf
VkL5svQ9gqj4SSr2jghk/sUhjX09c+JTEq8e05qpGMGzFc+jdioZPGzbJiK4r63pd/Ousj0ouxpt
z661BmMbiuS7mbqPsyFpTqeCvl2xc6Phrbek5xjnsmYEM7fc6DhNPBt8awl10OCcEAc18VIbo0aS
YZnPbp94DElNuhzd4M+DAn6njN/hK34yJyM+EcAkvEzk5hddUb+DYGRN1d7HkXNWUdefRQIeb54g
aYhoHUh96TvxuVIJZ2dymvaEnvIuoCYCJzm8Li4yiTGniNJFcQ4nPPHkg4FluePrIlkVKRojpbs0
N7wafF9N2s02R/OQh/Vmjm+yu7jxdeqfEzs1vN6yDqmojzBu9k0zPDh5Xh/UmlfL1MIns7cQR0hE
MDMm8cYdj5Y+vZppY13VSdgeE9zHpZ43kVuctGm49gmkOMEt1EVgx21g0BHbjIWl7HqFKifSP4fV
fQs+lwHdEig6EWuNZJ5VxA/kSK+Olo0Ru/causY+ml4iK39rlljfkd/92CnZ1wHBYWh/6JQNBCMd
RxM+JPW+6HfKuKuzw2yCdUuYumb5ZX0t0irI42UbpZ8kcz1XPiT0A0Y/M7y55VyrMuSo081CR0Sf
kRrO9Iz6IhHH0oRN6YzZObaRhDmq/yl2t9rNXCfsiNGi7L6BXvaUNGBzWpUPiiRVPYqZgC47K5d9
gWP7AxZB5ufxUD4uyB+/67HDDiP6QMvYiYoxia9JYY6zhxPPYNQ69y8ZIq0rKtpiB2ELhuki0xNZ
Tc5hXho9cOKyO8+UQOfCzOIvIRkqbOmcW/WwJXWacWZQhGq7VzAMbEZmoq/kqr1jbb20ZvpuN8yS
BMxdZi09gx7FFj5ywPo8xEt7ydM4u9p6oR60bnjuSm6jGtIF9XWlfLbrDP6qEFI/Ek8OlFJm39qo
3bLmgmpRAvKQvAk2VFxqN9L+XuBiI2KznrsEhamWlM16iLqzSyE8pWR90xmuPzWppdyTw/vV0t8r
CottndibTKqXtM7umswkOSncKzQg9vSRFELR2sJvAILsk6G/axL7oY2d5GG0ag9nCHopUU7HFqE0
fNUu3ti5vFaW9pok/akSX1MioJOBEwiTGYjiY888Ps122QwHlBlVqCavjnoZMQ8M41mzosBm5hJZ
d5U97BmKbxoKO1v7UEZmi7GyT6UCy6B509MviwssMXnmvd3SD3bX1Lw3gNJzIBW6fREI51h0SGic
eXnX7fDUq0hOTauyYFWMNdWifQRB6dMpuUZpfYA9g4QpQjAokpfWDfv19NKwqsDcSjuf7Eq+6BI5
lnJXgdRvWfhEgh3iAOD4rrGNIXAS6eu5Gr6CqSFzuqKwhhg0Aa3wpqV6iUvYvMmpSub7dG0mgRIL
/VFxusPcuZxwJyjU7fCYS/ccglTdRACiPGBW00EsaeQTGokeG90/SRKxexeqivNMZzAO9MWl7q9j
AGijGgzlOgdAt5bVhJkPJD8QF+34JKpSs7QQkhuHrTWfLHuT5yOBzfElypZgmLSXpW9PXY82tzR3
yRwhVk7db65giaS9ony2tUnbzrEZXVIL2KGjLMSTjDs83btMgYaqJHiYknQaqLPECCl3CpGGhd9i
wQSwR+equMOlkfHZ7j+STkWYY1AiGea8bAFUv7Pl8uqMqN+q6RXGqF+VSFwdtnRG5eSduVW9gXrs
5QUQ0/RrW3eo0IV7GYnY2Ej+YCIZ3ZD9dp/XbQ8hpaPjmucpC8no+Ilex1eUdBvWZnKibXsNPaz8
yI2e5j6qfCxz9gdJDaWn0m/zIq0+Mv6/tIn6zIQ73kojH9dM8WL2s7wjJK1gTPvveyxu9Uf52Lcf
H/3lvf5fqz3ja8X8PYni/kfM1H//6ZJ8BTxffe9//amf/lL3v3/87+ij8t7795/+4Jd90s/38qOd
Hz46qGX/lWO1/uT/9H/+x8ePf+Vprj/+9Y+vlQRQz78GNrr8YyAXPu3fmSwOX/8U4fXjb/zfDC9N
/yc6S6zeKnYyS0As+y+bhSKMf4KBUHFg4GMGjbDGKZVV28f/+odl/xMJiPEDXKNbNvkX/89nYen/
/GHbxbNhC0Hyjfh3fBa/uik17IL8R9fEwUttmL94BglKNdWVqu7bVXxrqyry57SZdivW1MPxmDOv
qf8OTvWreRATEAE2grkVJDXIG794wnA4xVDZ685v7S55H8ZpFT9r96XjDHfDqP5daNXPPhJio7jc
SmuwobBYtFh/8SX1ah/CrWw64LvIkzsDJTrzeIhfaf13vI2/vBR2N40UdX01Kv5sgQplXqsSKY0f
aQrMVqSlrOVyZntQEW75f3jM7v7TlfgfpSzuqqTsu3/941db2Y/PBc7HgIdia9qvt7Er2korNOId
Kr2lA6YjnkyyXH9r0qx47JXR8tpccNYQlqTnj5H5b67/V1/j6uZWVRAq2IR+eXQG+OyA4hUCYCg8
TnSXKP+ztj0jv2GO2SCc/P3n/cvr4VpUsa1jMf7187rhWAMR1Vt/CcnRdpamuVh0k05AaZ2TC0j7
/+dyLr5uZjSUy7yBf3QuNoV0RzMyWty71J2ukjce5Eyx7XjU9qPr5Pt//3p4+1R8kprNm79+/D94
Mru5TspknFviBSYr6CNLowmZu5dCRM1tFBiRfn+9X59VLK6MdAgZWlcgHTPvz9cjo0Iu6Apbv4QT
eJd1cRp0gs1+Hcx9/v2l/oTC+vVaGMr++NlcMVqMYpvWZ8zaHTILEWGUd/QRMmZgRA3LaxSJu0mr
pnsnVOS1HifjHNYrY/T3v8lffWgeWBWDotA1AK4//yJjCge+yPlFCHxm3GQrOCYgLjK9bMYvv7/U
+nz80UrMZwZqopK1KIAeWL8SPiCr1JFJIodvxi7H2MRlTr1o0yMG6dyFfzB+5bxpErMeNWHw+0v/
ujIA+jHZchxywnT8mO4vy1CtZS4S6giP5TPdk6shtvJV2UnO6I//5oVY6djc+CymbrKCrM7TPzyz
ZNhLBW1V7Gcj1VPFe7SFJNrEW9tWkMqgBjs4Waz7Cnm0r0R3y93vr/+ne7zGArIcwHXB9YuC+efr
A3PTE6VqI3QmQ3LSY0vdQ3mZzk4c4WuItG9jbPSHaCntv1n7/nSH14Qlk0xLniUHZsf6nP3hg8vc
KLWmQ5Ew5GULf7aHD+7iGJmbWUVkAowEN8qwQ59rEcuG++P3n/vPl8eNprmYqgVLL+XDz5dvmF2A
5CQJoFtI3RQRtGs9JFgDzaql+SIHgOroswk9tu+dfUV58Xeklz/feTAPuqax/QD1wA/6829AxnOi
xn2DchYp/LZz0m+JAY26sTgnaC0AExKM3GDUELz+/qP/9YUddTUYO6rl/nLn60TiqsAF4Fsp1C6y
Nl0/I1AA15BechKSxqdpphsRw6T+/YXXT/TT+7zmnKoWDBPqOJX9/edPrM4hjcvZqXy6ioSkTHMd
gGSC+FpADyUjhB4R6si/Wa/+4tPCzlyN29B78Nz+ul5ZStoP7UxWYzNF5zF2zaCzxHCoC9feTpgE
oJl2zmNJJO/fPOF/vjL1p0N1yPTXwev7yyOGCt6eOnUsfL0gFSWkcfc5UrPnejb0PWBW/UAGNf1j
BMO/v82/7vKMvKAF8L0CR7MtmHE/3+YRjWzO+DbyzQYWJFlvmq8upn5yZv1eA+5++P3ltL+4ngEs
g68WB7QFKeXn6yWonzhDd4qnp9ryjndUQ2wU0w20k1HdO1PYnknEQ7FT0zE8RwtdEVtR9C+9dFq/
SciyHozZOBBL0D0pRjvsE+GOf/Nd/OnR4x2H6sE2ApECsOkv63k2J20MgXf0iBNlLoxXxzPcEV+X
kad7ZYoHZpxxv/ubOyN+7BM/PfLY+Qnb/VFzUWX+SnWxMXv1EY4CL7SnEvkLcvjlTdMR232Hx100
V0yI5XQupkRRT3iKYMqRa7VYu8GMEeSRFyXS3YScJH/EEba02KcjfIIeTXKRvMlQquoVqICBNDqW
hbs16P1OKHwrUz9mRP12+9BoSvNtEHNV7lVO+oQPwshR/jObW/ULOw9R1sbgvPZS19RxO4saramS
kp8OCFF33rtmKayXsO8QYdTGQFZmWOk0NrMoQf2SKn3/RZ2sWSDgjIbnZe6EukVKTzpZyaOebFXR
LA+RPsEVjied56BA/Wf4k76K0RGahXcNswF8DBXFYVC62qw+SWc0PrK6YvhllvMrnqyy3YJBx1ct
Bzf6RGVPA8EuSM6shnp0tm3oKuUdDctRHpS4gW5e54U1sLzXyrlhEYgCkte7d3c1pAex2aJPcSkr
Dk2UMntHh8wEc7Hj+RXgkHrfNkSOEDduhm/zSLbhMWoVUs+GqbWvkzMpkTdyFio2sxOa9Q5ZGpZe
HiMb4Yihk+1ROSCRsQXxs/6UiGzX0grWt7DTu/eyLVrt/7B3Jkty41gW/Zfes4zzsPXZY5YUERo2
NEVI4giOAAjy6/tQ1W0tubIV1vvelGWlMtOddBLAe+/ec5lTWPI5VsPo0mYRuNAspnPmXEK//2ri
Rt+pFkfDAeVnqu+1NiTVFKrLGVcVAunsTIoGTOowts61LIIbZ+klCmw1IGYjxvOuWfL2hxfYsjlC
S0yC8xwiX8FhNRW4ZbEvZqcURdg5SgfydiLHZv6Ab78Dl53Z1t4WyCQhvAYyO6AsQPXQuIXwt4Gc
Q39HYE54F9UJfyMcZI/ii2FouU9izWiFORaGLoTEsXuYQrxtV4VfkjWaoyA4sOl75IhwqMuOJAsY
jLFz3hKNNM4TuPZM5XurLzN5DkfR6K1ysCBuao616pw4bVgcoCOl35PEgmw52jZIIKxw0x5NKqme
VYR00WPenG6Kjs7YTkxu3kMxsVKxS0Pdfqwr38U9O0jSvHJWs+bgj171uAZz8jMMzM7Ji0txVi6A
49+7qqR17kg3K9/Zkzfu3aAy4tqel0IchVvK+F62S6zPHjXkHQoLL7vuOW59MCFpH5u8TdoIHRIs
1g+dbIabbjG9t0/y6GdmGVrQHcEwymGENWfNhqRkD7j07EzHlUDeHlUAG9xHeiNOnCDQ8tVdqXmd
+pFOGTG2uKQbtj1Uz6aUbDC1XT45Y5I+s5+V2WbJia3feAlSK2VSxh4hA4cGxXzNjDvsXGVvymxu
X8JsZI/ihGr5wEOTuTg0dtnrhxz9oP3OzWuB8HaY63e+mzFN8Fq7O7i0UsW+BishuR22Qs3VhX3y
QOGT0E4e6bbRl4vMh7ZzHVyIwlY3xUAu0h6JafNqKpJYttIone6CuE3PTWGcZWtWgMA2KZyIv125
GDh1bSMOx1XJ5D1NPdOigCV6CAn5GqFGxaEtphBh9q2EtrjscSuRQlT7bbJDugbHYKZjs5EL+jRJ
3FZajsVDng9EORUpuX2sJhRPufBJvbPJm0iQjZfO8BHgDvkoksBzjbGgQ/bIUE4yvukcvNfOkHf5
VSVwvmLHmnjN8xYGCF1TTahs5tbTaibuHJseYYITnjSP+anSlY+dgsWG+ZiEDfLeD3o4+nDxYAih
0I6/C1unTFBCSuR9QfiGR/AjNilTModlEt0tH2RlIeAKG8cclmrVlxtYr+6hH/CTb6p4tdSMTbIw
so/yzj67pBDeN3OHUoQUncy7V7avniMsS/Ypw2D4DnVG/pjGc/hJNIIKSzfjiD+Mx+ZU4Q1E9K5T
VNA52DNGiRwMkcHBp+33YWSmCk9ws4Q7/JeI3AgJ6xb2nWkCkzYXzVOVpQFS4bQpH8KhbJJN28Ma
3cRCRvQD+lh8MG08s4DOofMhaprsdUx0B6SAWdy4CwcajqR7+NG5Dcd2Ple859mhyRIUytCA9Hj2
8cgcSJyJ2NPHQrEdxUX2nVRudGkt6k90fNKJnhJT5EiuJ9LHWRjxfW8ikWrg3MGiSGujd21G2VyF
KsXTb7ep/NCZFh7ImFvT9TL6mNTmMq1HlgGTLQRNuDUN+DayPg3jsvxohGfKvVNCtzsRsBJvRzxe
wbZo8g4ZzjwYa0MDSRQHHimWpYxO/u2SDNOI4ZG0ECcP5DvRibk7zxoTXQBinC0VujXZX2WJ3iC3
bPeK2Qty3aLCS7XzPOSB5DGlvBjT6AUGSInHTqSadtZoV5wIKcs0BMTGhR7yHl9oS22ygkMH78fs
vkzMiW/sfExeAiwZPSKABgd2quv+MHeDKVExC7/DV18sLxlwT1ImOriKu2zFDe8qKwrve/en7LsN
SdaMbEbA/OGM2U/i3E+JRhyv8rb9lhGP6u09cNd3CLTHR4kA9qvK6vwKAHxjYwRu/VXLHzQvAfFc
gmOZn92yC46YTmChvbR+PxIO1jtdzIgfPQ9zjdpnKlyRx4ITLq7sm0L2wbgv52G89Z1iecygMn4m
y8dWBIGM8fBhjpgtgaiKw34bZU72DWRiHB4thc/uSQxLdd8uLYMQKIULI4oAMt5GI0p8naEgnIcw
U+E+DVNPHHEVJo+oaogJIpA9CDZyXJsvQEUGXKi6ek2J810tLCrHeh6H1XTVarOec5H+8yuFCJUh
GwTXM8DN+oxTeawP05JUV7Z0zGd8eO6pi6vYQfRlOCzU/OBiB+6gsfbaibOnzET64DIw6fYoSp3v
qbSnedta4At2NNeSB4NcOD8t0WrprWsb3tpo5UgIuiaa6x0npviqbSyJU3uws3edX/Nr4QYkGi5y
lsHBfRKO46FWXcxlDR7iLcSYpUI+7TTZ0QktUpnMGgp3bTljQ+rBot2v2MyBbgljWL3qcGj8U4+b
o9kjE0Zp4C56zg+uyhCX9FmdPON/gekRv3Ca9L1bcOsFToOcNpUnLY//IuJ5pMfEHwFmYECExjUj
BqaicxghptfSN08WZty9r4v4sVmQoe6SPp2nq5zz9zdEYzMNIVL3HhtLM9uZmrHlgF+Lj0vXTuRm
0Qg+Jr5cvEMyGiNumzQERqQTLAVo79w1JqrNeqJglry8UXIMunsdINAmsV4DcI/W+WxMvNmE4nAq
1wy1WZwWSzA8RP2Ph63WnmF2GOiwuUJxBp0njDo6C9a0mr1A/tXDIU+lJe4Gbev8EFsjc/IpHLU6
deQhdpih6io/zQz8yIrqfV+ca9JdUe2KqSZSbtbTZ3LY1ryZvBmA3kyE3p7KIVmg0ECeWraLG8uv
yUyW78ZPdSM2Bfrba0B29oiLexCcbOI0O+EqZzqIE3/e5pPJvZOFOJptnRg5lCyOM76QsuG8gqZg
dkhYLOLEIhi83aTWVB8c9QJgD6OXR7ssCnBli2UR6iJzXtHFLlaGpA81d2siJQ5R0E93Vg8xkJSc
mAc2Snq0+DCF+Xq5S0YdvsxlZPWpOOVuXVnFem/mdNW2dF35ruwla6KLVOHkjmyMpw6RJQIBBLrW
tpnd+Jss/Gjm8ZwNnjRfEXM19Kx8kT8hEMm7mWgoUi5bTpw5OKsTQz+SFHtt2f7Gr6NJ7ibh2gSL
RaX3xSOy56uuaAaBfhix8DGUbW6LOk0GjM5RgUBXkzBZ0mFpdrIaeEMJSMSW42WTex46j8hDpKke
OTajA5yOxoTyUU2KyJBX3ffJwRpjPA5uWWF6axLTNxyEm6E8x4sTHe0xIXfXA/0p7+d4Acfrd7Lo
Tr4/WpxCpolTNhp3gob9qFszky072PWyrT6ieC8M4WMO3hHfEEG/QmOZtCdlAW6FoXtzZWpbI0fg
qEc+NafXjfaq/iEXKnrEL4SiVJrBOlRTSqEX2mY6tH5g2XvMKZwh3bBQNocz8F87aCLNHvx8fYIl
hhxOWUo9V/REIhxsHdSqsrNCfWwdnxQcl9vKgxnNLQoBs3Thvstc/a2c6D5egRcY7euywOj6LY7l
fMIw2wIhrIvmBbZg7x9UasRryVPKm+KvLFaribxuV0FfWJkx7HS7vsUhQAhgVONY8eRyjBIp3X3I
fbKOTZ45iPMag+QaF7616xAinK05rJeTjoT1yj3FBxhEDaaLoaP2hUWgkytm0fN7qlhMFQWJ2hvw
4rxljuWa8t5aEn0eXJE0G6fPlmtIJBhPVe9Z08kir3Ta16Vp3xPXg60ongLoSYHi99iIYpwGXA4A
gtqh8sGMUXc/6ZJzAv/6TFqjjrR6AB+SPlthjVpQMyqyEYW76Tvl2wi5m54dc1+gTVl2mPQ5+uYm
FTeK5gFuF2ZrT5Ug8QoSF/Catb8Lgka6hUtKY011Znhth1OCW3rErCI50uVdQ/6ithtOLE6sXcPx
HLLCKNlyBkq6VUfsAuYacKp9WAPkIGOgkX6qY5HtNEKveK/mUS9HPx19/rK3ALkSkZyc44IFso2J
fdpmgYFnIkleP6gMYMDGNtIN9o5n4nKDn56WM5M4MHIo2iNihfJqOZUiHHveKx8wSp40zkuoTD5h
VHWjD/GowTT4chbv8DnH6TbPy1V00M4JvlAnlu7Oi7ChXnm0RbJ75lHho68Ifd5aQ+bd+qPCejFn
q0KfQ4GI9qFF4+LaAvDfooZSKdpffPNkmM9ywEihZXeXJ5Gaz13nTkhVAFZi+Bqh3m3Q2MTZtdvn
kcIUmS962zSwJo4ClgCi3Iw0bu5ommLtw+xOgdoGBaYq4Y+HoFvwIKnQGovvdVFmAS4NxVoN00Ig
nGfIQbGlxIyTmslolZz7MspmnE9lOZ8CVBvEWSMoh03kohM9Zi3Ha/puXfyITlMtj71OyVdvYzU/
x3Y1uQf0ZdMZxEmOQMVwoNuaqTBfFrezTsbJWZFCkrKR8had+u4DVL3JkFazjPhBMd0UC1yA7Yiq
A8tq1Y4OvJoiMNiwHbg3DArAUNrOyOC7jVmGd+Tqpda5i90SdUyl+3epbTBvtOweKHEtdvBVtOEV
dwiC8+QQs5FZ6DDdKDs1KmMk2ldW0h9qzsYoS9okKnaLNcz2Nh1xFKShT56dxqXQ7yw41T/82opu
u8TFN+khxMyucftn7PgawlRIiUU8b0aHmughmpQbHoPxM1FxEiBXRSLjlldTOzsvkZN7NadL/yVe
Ik5oCAmt8Im4OxVQervOlVFLRtw5M+p30exl+QeT+8O8DVRSoM3zHWwZTdzScYaq4r62YvDTDUtx
ORAViR16g04YSB7/DqJG3J+ls8XqD9o7mSzsGexWgupXpthqRtllTzYnMAt4hh6ITUSCz+tCdhlD
uGWK86MdhNiSCkEILTFw1gQXRtjALJY5zSP0KtSQlBa4/U4TCNFsj7abGaLHv7ory0nd0kuIFtoI
IALQjQaB2TldA+sAYaPAraEKYAdM+oqvxh3VHfAUjxe19cKGU7PGaU53oygppNfATGdesmcHehZm
eseYm6HOKpLH7Ty6WXxLrtliXfqjYOV9ETJEqAvkx9+KPi24Al8zcVlw2H3gI4P5asGf9ey1OWYT
L8yREs1Du5y6ZLbcU04lyY4yYk3fNuig7zkhLvMp1IUwD+OwZGbDbLLrdqUvYqwutEBYe5Z4AG1Z
ypEkyyyftgixhpfIKSKcVpzMvuM2jV5s2bf3IIoUXQtDLDZlNaY7jtR0Xa5bGjcIX/MAa07GjPkk
Q3cpgHV39vPAlvPR1+DBsORO1dMYFfa3HuGUe9f1DS0ynRfS2xEvnYXnpZ6yY9v1WXjIwQGhhMpc
xtb0yiQ6Pf+VkeGxY7vBbJNh4tkCxCqOCJ2oYduBgz0YPQcMyFT657mcq29enzsI4HvLeWH5UP17
ztB5eBoxNSLPjzhA7OgzVDzvlGP53rHxD29oDcFfoUbuv6GYS82Wqrlq1owHrNjoxIf9GC380P6C
1B7arqBghtY3H6N58NvrYqlByvi2Vh7oMA5RHQ0TqDoQx+BajqPln2Y7t/edKrpyZ3u1oZ3owXEP
CkGvgd6jHvcdjC1KV8wtchsVkQQjVFkaIxu78UE72n5Ric8OQQuTsRhhPP0HAiSr+DodzBRvXB8L
J9q8eloNZBSS12EQ4zUAtMMkQmYphX0WSeJAvfWdna1BX7ExierAs8BsD2+DAfbiVfe1txjOMa0c
Wnpjo5se3Zik7AMuJGVRlYVUUZp28ReWuqpZn4fsroLY8T0iKNPh0DuWqEkhmvKT9SD2jh3zJmTG
Ga8DCrJlZvQAH65lfi94YTQnDAUYiOFUxc+4bZUFGcHpPeop1JIpBgANyndTDZCZKbERCdO+i0h+
Jd/gs1WU/nIIwT28byKhZ8Q5SziAGYnJo41yAydEErPKghAKcapG+nh8AnibTdVU3XNmM/s6J5pF
/wMNmyHZi8UPOfbQxvQPelHBuB0yfC17PyFJ8oC/fi6OdEKo3FkpnIHzaUtoOKToTG4BbOB96Zsu
A2lkaU0kZ0S2ot1SEDtBnVAaFk6PT3JBDe2nnR5385KPdG7jpU22hZUhDqXBK+7yThHJqvNgeaaX
w/AstgGf5QvIlJ0dldOn0ceaK90w/6gSpYNtUIbo8yR1SL/JCDRtwHuMM782XeN09WdrOpLYir+V
LFg0lSJ/PqZLifkU+E9/nKqhf+LurGl0Vp1fd4yqkk2kF3kdtRyB0NAjh2RBoJLREwl8204Qfb2L
28UiixGiRb6vu4TX0erCIWXe4sIP4WRhc7RYegUDyunovDccn6lo4hLLep4tKAqcRWBeYwKq1Y2s
ivneKtI0Ocy1E4wHFnrd3tgti/oxXgBTQ8SyBaeaDAPhzgSgaA6u0/Wf6edWVEBLGLhY7Zr+NEc8
LtuJyaw+Wr1bP8pyzsUpCLLolCP/caBOqvhzRTcXFb5lj+9Cbwja67K2s1vuvTS7EgnJPSYjuEgJ
mwJhrlVOnCYZLw395xEgXTGnGcyEANQlBtC+qPZ0uRDsy8jjZ4gZuiekDgE2OdQ2CafbIsuq90km
cqqQOp6+5jiRg03RkFa8qSdPP5sCPemORLuFXZZp0K6T8fDJylrK7Zm+A6RF5p5rTHTQjLtynsgm
7sKgVifJ8/FlIPaBckiPTXMry4WnsE0W99XVHei12W3iVxAO7qO/JCutjV4v/kHXwO4tM7dC/J57
36NxwE46N6r/GA4rfa+PaSUmqQX1tosEJpmc8xuIh5ygjj2zbM+gZJo+oW3QL2aa6JOkUJR31jj1
9VH0ZB3QZk9ZnVNaIB7WUYx4W5XUdYi0FR/tXlpMuI6tJYqrKoyqYJtkSx+fxDgH75GjFyXrqArH
h5xK2aEdNGbvaHAv74NkxHrR+XlbHGcY1O4tpz8qFmxvOr32vRYrVsF8YtzVoB6mH71VJTW2exON
0RPjFsTB5DAFlGY97+u1NZsyf+eKSHh3yhg938cADZL3rQua4cavQNh8CaoEA3TllHSXmVKOD05Q
CW/D4JEIuDcm9n/Mk5nQookIHWJ3sHhdCip90c0hRaPZES09nY30wnscDwn4MO0d3IWH8ueY9v/Z
5v+RIEn439nmR2TGr99/1emu//y/Rbdu8q+QiCdQ+yhbadfF/4M2T/7l0eT3bMRC9qqpQD7yX5Jb
3/lXRJONKTci3QSZIQKPkSYSalzP/xcy1YA/Yu9lDk9Y4H/LjR/+PS9HqYzaGaHyf/3/X3WbF6Fs
EaVbGNPJiiPUu5FHpNjvkoMJrVJjhYGFpXxur1ITLvcJcek0+hK5d5dB3fnRpN/xdGN/UarAudAG
p19u1j98Ca6z+5/R/r+/Aw9pgHqLJzVwL9QsJiwmT2Bx2s7Kd07tQqxx5FA9ou+I3xDOrCKwy4/i
vnK19EoIB7hQWBhhjYG2KYsgMGLcrBoU71DBcI/+/ZJ+AuF/+6CEHD/kvmQ6Orx/l4rNSqbxFNtc
U2uIK8YaZ05I5Dh21lKHd4AbwXRA4sWg3jdFzNRsxmB05qgzvwbBXN4O8xQ8plmDK9ALB2RN69b1
yCDHOKdJN4Gz7SeJ1CprHQoWJtsjYeCRrhgA0xsMN/PkFQUFX9h9Zmoe7Fv6rcXe1A7DV5qy07eo
CaM96CzmpbqsMIDlMUfsjTsbpk1LrMAdOFnYXZPHzeFosERJXN4EzBKr6dL5V1FBt3X7xl27/HUY
Ijrw4lAQrykAl7Im47kE6EA4Y1s3ryEqo0OqreqNMNuLfA506ijMeQaCVToFq/ZSKAjxYXILq8oY
YozOycr86XpOqZxmXhb4fIh6HSuYJb3ptjwlGeCpidYM5H8BI9mRaic8x9nKuMMVRjspeePR+X3R
Xr8eAn2kXZSEEcKyS7HT4FYS+xpfbxkBVHRjuGJMLFsf+n4AiVuX1uPf7/pPyc6vzyqf6DOQoItK
yAJ97QtJjxEcgjxAA9CTSQXiQE6bNLcXccraun/NKh/fYUMt9pE6Hy2KF2v1goI/ZIJbFgFMBcK5
sa+Bw2DIK+C41YO/2qixwX6N08WFB+lWM6eFcaSBY3cdJue/X8I/3DP0UvgWPG9tyV3GIKulKWW1
NDw4tnhaBugehQ/RVEn/tnOTb3//sMvlituVIL/zHBZgj/pnXWN+0VtawLDqxeO45VdeegucnNZU
U890YFLv5u8f9TOn5OKn4dSRoLpDGIZ+1v39s3KSwa0QXSuz+cJuicokq/yAdycEF+FY86mPqRc2
QL6Y6MyQbPDODkyvsjmO8Ph1TsARLbPxrqHbic90pKikOb08hNReHPiJekBbI3UVUEnXHnVBMtd3
mbBjtaWXAgzNByNttlOh9UMbdAP+cA/kO2gkVyKdSUd73k5C99amzRr3Qfphmtzzh+G7aZmDFxPA
8ICpaHWMy4YV952NLFQybJdymxU5/GgeEuQFeZ9Pb2jGfnopLu9dFCF8XjPHKW4ufqcqTnqXOo7f
KW8hyjhuJ4ZN7Bp6dbHRwVNDCPGnDDQN9eYowyP8XiqQ3o2S+yGZy2948IJmUyhveAFql35CRxM+
hFj+HiJstxjgyqlyaenK5Hloi0puMO9XX//+APw0ElxeBE/AzyxxdqzL4GaS6QhkA/2z5aBbCuQQ
jb72LA7HWYKny25yUHHYcuKjDHq5G33HbOoAH8SA7gEiccNEDpZveGUTw/XkhRAjJottZwfVD0vg
37/sekP/+K6wvklbZP0KVnfRry8G4bGsM+vCWtIRA0RFOykYo3L/90/5XQy6ro8uphZMHqszgRzt
CxlqV8D6Svs2I4Vhbd/bkblxekoJPMgtHMhqYnDsZR5/FIfDw98/+4/j0s8PDzivsc7wSgYX54dx
mDXst58UhXx+6ZF87wImYncMZrKnNlN1g/LFc9h+4VrTd7EMQR92oN74Hn+ud3yDGDsRQxmycYL1
z39ZgqIeW6vyOcZY+QIQkmDvm4ASZAMph1QWu3HCN3bmf/rAkCWWYoLMKE6lv3+gobuk6aNjfJwR
gTRzG9Ks6wes/iNjSBmJx7/f6D8fJTLLWPVivCcOYVoX657ksckVdsLtVPcwBhzgMyPHuf/zA8un
cAwM1nhZzCcXv2ZtEmZuE1eVD4l/GiebCTgWsTeOt/94LTRNQi/gYOB4Fw/sFDdRPCdcS4ITYhtY
Ff11m4/6v98xbAcB710c8l5cXItIWaK1j7Kj6in//X5J90gO3wqS/6drieIInx7ndWT/F79LkCHp
jCETbhlL4t0PpFefJqnM+79fzJ/vOMRd6pHVU8Aee2mTs11TBKHgh5kqNGCtZ7xDxz96rMqKGAo0
Tc9J6SugsY33xury8wp+X8Q8ihBvbWzybBBs9/uT3sEX7YeURYwhkbcn+aZ9lEy/seDPzb5dEmQi
AGO3ywqwU/7rWCePHIJSRHUkW//9Lvx50MAyA7Q0XMvGyHEv1tOAGUHB/B11bqe6r1lPj3D2yCBK
mMxf//2jfj7qv182xQqVKPfa4QAVXpwBgYsikfMFDXH0fs+87QmcshKQGpolUt63IX6wCCinbV8F
Q4XLPa7L9EaAgCPQHbHpcyenKL0X/FfeG1/RX2OUElgHQT5AvVPEurIoogWFFeKNdBZ9uonDxnKq
dNyMygBWcgabrrXyyT7f1mUSHkd78E5+rKfsjdf+z/uKGSnw0UBGa5EWrQ/5L6unGSCWIz/DF45s
BCmc52ytTKrT4oXijbfyz3WT4wOhZbg9cV8RL/37R1Et1IYRVgpdsrO/w06SN5ZcNThu8oOgird0
8n9e2Wp8crF8ckrh2bl4Ykj+Eh5TaPjHM93h0uoIIZWydDbWiDvsjdt44aRbd2IuinqdPdiN7fjn
ZvnLfRQ6SplprslK7rBsmHw1VzIeuyuCWIhXXBr7MNVe9EyT132vxmQ42x6AyoqG1xvGiT+XC1TR
pCHjTPC41Zd1o6fjQvs9D2+k5+6jm03jsUAbA2MIharaKC9doIbZzMeBVbxxRP/zlq/rOuZ/1vZ/
qFmr2XeEIFURlSuwOGB5a/AF2vHcMm/d8MvF18cl6DuUHT5NX8LDL5Z4lRJqMVp0R0WpXp3Gt/BC
uNnxjZVgfSR/XQkoNAKqQH8tQhmM/Syff/lVyypoXYE0GdqbgANnAR5ArOnRItKzAdkdelXgndb8
+eJshQ3aGwVjC70Q4AMyfso4IcFK5uG4ZbhJfFI3NP1NLytaxKhOdPSOxYAIoSaoA3srSUL7qAEz
o7IekDE+ZKqvukMNXbN443G9/KG4LkrcyKdGtPGY/vEqRmHn9IoRRkly2x0savAMhrQo7QXtG/fw
zx8KfwdGZIp3Zn/upVMKZj2ZSbAvwWsJeVrDCPBWkMD1xi+1Hhx+/6U8f00d99mK1xrh4m2fc3o4
qobQEAAJ+mzqvCw3tJ2sknIPMKkuAxFvbfCRH+QIe5ca0mIpyOt8/CRGiemBscRCyycsXEZrmATh
gTFVrSEuTyIAcwJxddepdGAASdoO8UQNY6ytWgDcvrHV/XGw5sWl8UDTAA8jBk734kSbTAVZAyVD
fVmXjw7RaV/HSYUcaIvoygevvQeFT1pAJ4rHlCyGm9DtvPu/388/fzVeMLbZ2KGBEFA4/r5WKwaC
uk69bjsh4T0wQepYL5bsjR3hHz6FYyBXyM+2ftDFS5xpiVCgbQh37alZcJEHZ51qe//GtfzTxzB1
o3Vsc4Qm8vn3i8llWxQAROUWoVw6bLJ4AuIho2r44GvffI6mUd8PgBXeo8Ezd01ZmacOs8V0HLqk
qzYczMhAii0OQhvW/uk06rjrIJR09o9ew9qBvFeHh6pe7OwwlFp8SQfgCducIJwZ6mcA39ChOH+i
f00gCVaT7g5iMep1PfTpbZE78mNbYxbZTCnTnG2GgvR2qQY/3hZmZkSPeKT+jMvAyHNgbAIzU4Ra
L6Lzlte6NShdHQCfK+UlaZ7QRSD6y0T0lrH0jx3Ox4ZHpnTCIYH/ddyLR4I5OoWPY2BZu+P0sY9E
8oPslvpUkJX+qAqv2g3u2Jp9UiSwjAQNlIYqA5WiWtRbwxznz4V5PUNEbO1r/clh7eIndUSylA0y
dc99j+5pS8QgalLO4vMbC8s/vIx00miQIwQiHYtn6PdPguGsRYZPeounLlCoTYIFJVMT0Jkdhzwi
ZSbXGdKGyG/mPf6XsNyFihiKB1tl7uPfn+Q/L5t1dM1z51DKRYeXpwwzAuiYIxeJ5wT6nDgOJhY8
LxPMojAr1I8xCkZDDldQd7vCLtxrxhcMyA1x7YjdPbt4Zv7hg33vLPXG3v/n88F3w7BJ7chyEYFC
+f1GCaefHGaCIPwM/OGDMxfp3pSx+hF0VVufiz6pXcTMdpsclnlmThvrmIBh30mt626CQPnGL/fv
E97ve0LEwsK94rENXLaH37+REsqRWQbJb2FqyQQnxXiHLBYa/8EAYiz2VBDxO+wMqDN9NovPpWwk
88gqsj6LYrafpGrdj34Tlh9EBQDCJE39VKuVUZJYavro2KN5pE+VPqaBL5DpYrO6BdWACIATNReE
qt16RLpoZQ8tMtkacpqFerb3PXiSAdFat/hsvS9V4Vg/AGgg0ABgT0BJEqfpMzwCw+KDyv48OjIB
p25iVJ6sWB4ZIwvUVSh7mK5irF9gzjkvMfVIRPnCkSa+QiUF4G12W4eTIF2w74XbTx+WUvrp3rez
xd1MfYBo3mNV+YRoN1sOTZQ3X/qA1Ya+tJPjhLJrut1uOKDWdPo5eO2jpGYBi0FS7bCTDuGhCWbY
2VWLg2In29jY2zEQcrpBVlAXZxQ9wZcgn6a1L5c3zz4TjFUdh2KObIu6In/SnaYC9DMxREdIu3F5
KnFZ4kEibSYhyYN+wQ7AffLECH62jsCNu/fKa4enVBHFSeqvTeOFcpQDRZuq6g4hvHz22ES6nSaM
4juCSvklhkV5Q+IcwiwcSsjTQrE0r7hLgWajs4cqmsFKYqHCFbQjN3K4hnicIFpqW+s77OrebIei
WZ4tjHs4CnRmuecxcJl+VMh5042L+KA4SI12g5zgCYtJsBhQs2nyLkCvgxxlZuWnQ6zUV+nw/KC5
RU2w9QDefhVBA2+vLJfltoGAvxxJqpF3NJSaTzl0jo9911Zqm6FEGLadYmZ38Kl6qPdDC9Fz49FW
hjQJFxGRRCpu20GQP2yMC+/QTlKdbWZFYE4ieuLElgZzImj8Vg13SnkC0HtVw32zCGNvdgEa7X5T
IiSXGF9HLtUOlwRsASYre9d6CTuLQILyvV0ChFQww7FltU2FjC4NVQgAzaf5fh95MyrbGHVpdNRx
E4aE/1qEAuIbh1E9Mx0gGKh0GNTpoEA2YksfaXVdebhQasc9C5MM681rln0rHYKXysBeIuIvCpht
PmYy+GAJ3FpLVJE5GJHKRyKssOy5osw/tUMno+20LPoLUqchxiZhwKerMErBwVEx3aDSyZ+0K2EW
K23PFkjGjtjSpFrV/b2oyNKC7NeofR11JcAxcJIhgEyHboc2YTJc0+vunhCnkk3o6JX/QiZd964m
fAlo61zM342OSWLooLYco2bSj5VohnFrdRz1+Tqi+Syx0pCkg3LiJotjooAd/G5npwgiLBi5+oTI
1sNXwBnMZpJRSl5sRwaClNakelQ2Ztnrag4l0HoynW/01JEgUVecRbeotwzSFt8HqipH28VhZpT5
3Ab5PG+iTs8PhfHtbmMj5/GvsLO6UA5ReWC4zMgB7KNSeYfWxB7+SF014BXjtD1PnUVUJG9w4l2D
jyCMlhJYc8AeqL+Rk8gEHGSF0l2YmtDTEfwQTNfe0wOSz5yE6towISEiAjsgSWkCcS8hqsfEyZwI
GVyH3yiO5/ybyfol2zdxOh6ssI+uwgZQuuvRMERfl3Yv1FYRn4qu4KHOdEc4TsjajUdPuK9ZjuoD
gZtFUCpJUHRlkNLkt1Mdxvu5Qly6ZZkokz3EtsYw6WzK9KBiLI1neBmps5GxFt3JtkXxhMAfzmHQ
IK8lJ8DD48cSjjUR/W6/mnrMwkwZXSc+wxxFw86XFUhEPxnCdeHvPWbLnRq/FYkNqdR1Jw/9nCBw
8ITdGj117wXN+2jp5+8kYRaEQkjpfUJunvdblXlsHtNYJOV2RJ0ikPBVCG7aYdE7IchXZmWMGoX7
tNDVbmWyLw9NPOQvKkIAdRMkbHonGdsj6Hg5MeMpEkrXTUmVnO6AJmK1s9l2ScUgbXRpw+mDcS0K
WdIb0KeZkAkVUlt4r/FRl6r/sNhlcMh755ZOVABZWF9HA9j2Xth30AX2qNperC56EUBYm4yJUQkW
X/C6b6zwPyk7k+W2kW2LfhEiEj0wBUFSlET1lixPELZlo28Sif7r34LfpEQpxLiDW3dQFQJJAJkn
z9l7bfIKLC0o8/6pSl2iKaonb+CZYT4ZLNVtKpvXwsoPnBpJDM7/iDTD/2sd7EFsPMbMte3cRI5g
bEnStQdYuuRZ9uwa++jk793EecQV96LY3K1GXRG2nD1iUrkZ5+HKRgQMLZb0mfq46K91/5SD3PHM
33rXBYjjDhZ/QeFIxlS0TUtzx87qAsxFAZdacIZ75SB1Rr0WJB1fg9DAyPwRA8yFnU/nuonEba8V
+IYSPekfosql9qZFMV0wayBiVPDfmhB6ha2TpKBEeReDaQiFlPsUv2I/lDsR82L0ZX2MxoJlN+Eu
ue69NRWHTsPm5Exwwtr2hXrjCUgq/cUuGX+ICnOFmAlHmpcfTmJvpSKWyiBKxmsfAMd+g+5JfOAw
B3lnPHhNfJ857sHOv3nx0bTLNuyhewQlO90VT1mHtO5vLuNLYg2eotJHAxp330AjHa0Ed2o2jcve
XJKDmkyP6eT4WCqydAdNJ6PSPbTC/Bap7Kfe4snHbBEWQ7Ov8ABEDHkCDjM7Vze/T+RL6gm9t4Tp
jKjFowED0Se0Z9N4Nv1rwjf5mg5R2sa+q5NHEx1fknlmiMcuI7xt2cIcwdGPHLm0Qb2PL5r8bo76
Jtay31lXvKmIAdekqqORTddxlm99KJWeX95GBYrKQtMPyJ7NH17KjZ8grOOhmS71pArjaL5Cdbkh
AjwcDfFW8wBtZbG8peYP3P370Z5vx9h+QWKKBxbE/ALBKO5t+TDC7BloaDl1zLs+boVXv1l6fjED
y6UlsLeltIkIJZsbf86roSmoDWl+h6n9gpTggCBxsSFp7Rcv/i1W5eJQE+u07XEVUW5MD307yiAi
9oD8ngHftpYxS9VL+ArBhER3qKvj2DXiusWuQ0CW9F5wjrjWQYz2ERnFhTerCxFNoGCa9jofGDK7
3rW0wet2hFqS7aLdOBmU5sgxGaOm00VEHbNPVP7GsZdEhbL9kxnlE3QX/AsJUkT1cxjwrwSqISjh
MMYTpy27wy2EXbmOrvPSnp4d0px+GKhD3kDuxPMGqgumbNR1oP9Lla1iTAgx977XEIUGONykhqTA
8sNOzfJh8gFrHAiyMOqVgz/DpkZDrDa4TFQaJKrAtJob3fI9Q9mK9Q3BcBVia/ZREidDfuN6ErYS
1qD0pTDXvUUZeEOI2LGcP/4YkZxnZvU4bMiMF3t08ES2Q+/QQ0vpKRz3NSes5K3AkY7ext303ipB
8lkNkF/mxi+B2hiTHcmIa3LjMNOorzMyB+uGYPiVCQ02YzRMRNRABOTljM99hoyD1B0if0UkEe76
2iSL2tR/EnNf3UsjmR4sZxwyovcSGv/w7FuCb4scCb5QWC9C2WI6Tfos+dFZA8jYyazlvYttfgpl
gSN903o5kbJdpxHO25gzuHX6QpddNUnyUMwFbz5eD8rGPIFQADx6IfK3jvIaIlRR0AKxWikxrrG5
PHggIBb2QRjvmq+2S56OelDlptaEvXQGpD8jyTcblJOUIfakt78bZU38J6XnPPjkMJIXazlOh+q+
ZrFs5jonO2RodEDwYwPdtISe9HeOLLPkVWthOMeyGCxkPFieQnM07YxtZKS6HY2c5O6EptdwJV20
1DCqB/PBLFB73EgW2HwjqNHcLWOpmMS2FiSQKUYFQEXr7b8ZHgUmNLKP8Up4gKRtt0h+6T7euK2T
dy25JfpwXc8qXtUJPZGdNvJyvvaiBGmKhsqOrleytTtZp7XEU7lLsqmzmOjc0R5j5N6uLHl2/Ebd
LQwxsWiBl/hWZKtXDd1F9OxKhelcSw0Dx3el/zSi1YGs9YLcDtrix3w29fJQDktJWWYWiINSuQ72
kqr3sx3F5hBfIm3359DridfmCZXoEmjgimt6IQDDaHkQwhk7fvqQjzpocFnUL27eDDfCWZ9d0NL8
yswhtbWbPOJiULXwCoQe2iqSWxhN2XVFdU4qsfGDxdvwNyQ9sLN7/WpUtDAaQfspvKgiQryJD1k5
pN+h5JhDqGUpdgqvdJDSTYbZ/8JuUt+JNjN5sa2CiEojK5/HvCCGOivW6S5aGxsFRsTbiFOt8r5n
PkKdYJm9stoUVTMelKkXa4Ukyqu0c1LsUzSy9NDOovReixXpmnTEmNumTp/dRg7RyiQBzI6JPa0d
SKsvMdGMbTX+4pyRomcxl67b4RWpjzqwOxmYpZb8Qvdrfndy0y3Zgz1DQkDzkfQ0Ze1RQyhYygRg
+d2dHhXVz8UvGPYNvYYD3YnqIzKkXt/4g0Y/TaPw/q1RON8T+bRwMnBL3duXBPwUnJc8OmOUnQ2p
bpkBXtQbOYrhDOoxzbYIqU3C5mHMkhw66JhTlsEmpLxBvnhnWg2mWHdc+t80Z0QXeqXpPzrxWN3x
Z4fXQq85yufIkR4T2BoctDlIEpKsZPdXl1X0IOtMvXYtWYPbWa1rU0bTgEMQWm4noFMEIDkbu+Si
bcnH2cVijhvSMy0qWifKGWv4fkrbY4bg1IRjapHmSOhMl23BNKYvepwULwAfF1YNd+LfzQ35PmXh
lLetBuuZt7+goNQwQ8igolXgBk25rLkOXYmtj8BD4hBnD3zF0HFkxyE3rd5OyoCDF3Oo4SjRVOii
SHF/G12Bz22wRftSN1aNb8cvMNU5Tk/uHlYrazNB7PbIj+ABIBl0mnQY/KWzJ4TvKiN4dAMqCA71
iI6X0GZbY75he8cCrxkeQl/vf6fTgMGw0m0yH3gE1ZUSJPFixIbfwCOf8YK3JoRAvkk2/faqmbXf
w7xCZZtP/TMVraYwuqG9D+LFnthViNa4m+cqfoqFo77V5NiwgeGpt7Z0LHgmSGRn4/Yn+h0hqYNu
tyPXmRTHUScQgmcunwKnnBo7aMd8VkFt24m+t2GNXOodytBwUq4+Ym8jWzME6xDfJbidFR7vGRjQ
0OUgytVgcxZRfj2QlIEbjhRAAqm2BXmiMmySwT0KK9Mw6OnSfZWVA78DJbT4ObOeGbuhacUrPuzl
jzEPza8ojix1gCnkHruRwPbAHOPofk5S39gXc9s9alQSclOolEcMTj0pgpnlxhJXUrZ2uEyR/dGL
Hr9GlciUICJF9ykAv9z/Kli4CGUt6hnC+ST9FBdnrwT1RN/tCbRpxWZUS6+2noOddksbFQdWpBEp
w+ZVZfe0AywBylFSzCInXtReuvkS5sqKbzt63vC2BVG7AcAwIlbAShdQfiX7F3G8cXxntw0Pg6Po
ia4cEhhi2bz0Bg5zMlCIMNKL72XX22+6YJNhf+oNamazYQfXaGNP2PHwIS9O/SPL/dLcuhMEnbnQ
FnmBizb/Tf/RORLA093UyuGZyqmJHRqN7fiT4AF5HGKfJhNywn96AEsr/0dpDVsMIyMMQIiF1hn0
ibTGyBacSVkKr11V2dVUjtORw/EZbcSHUQoXMQEPWlBaDZfp6/uWqj74TJErTqccPdNtW/BD5WWd
nJlhf5AlW7wBpGbZDBrwBHin0hpDwyJIq6cBYhY3x1l3XHYCZb0QPitC4FH6VZP55q2JO5qhjlEB
Mi2fjH6iT0B1fCmRiQGkUxz1LIqqr5vwH2an/z6bI3T02Svt+KSrPFU1+TuUw5t5bV8ZVZvs7Dp6
qLxsOjO40k9n+evPYKNG9AyAj0QdnMweUEhkBlS0huVjxPo7q9b96wOQ2dhlDdLKXH2La4FXZ063
c8B6bwhoi18XAJ2kjRqkRgxuJ65VbM7bfsqrS68T9Lsymg51a0Tfvv5h/smB3vXb+bgca1GSg0Jc
h7DvH46JWXihFwN4CAtrWApcA2SDr3ZTq4xDn+LPTwpsTxkLDrEjAxJeuA+XqYhe/JKk45zy5YEW
VczBxhRHT2FRD5bSShDse6SdTLo8M2n95GlecaXoBtEwMidYb/V/xvtUhYRgzehwLLzgf0jy838l
jd7971eBBgvy1+QWImA+mVUJsy2bLFVkm3VRek1jtwuxKAy7r3/9DxJf3n+GQ4w70Ei53IT1YfrP
l+HgARgOhD7JdkQjNJ7h79ATt28Yyw0mIIl/rKaKsL6WlJGoqZ2jxF62YhNLKw/Qymo7ZxriMMfg
uJ9F53qbhfjvK5p+ySV4B7VXk2c/4lYl4ZriNfz64398q/j0sOeRcqBdYaj3/tOntaG8SpDOOabU
DtwvjXYl6kBlE//09aVOdUjrW8Xhj+gFgegJmP/7SzXgbsZuxOXRLLW7qzERbmJiIPA8OL/rXpwD
tn4yGLMsGKEWziLUogBU31+vFxqHeX1aY4Wi4SZjc97WFoQHdAXtAWmOvZP9Ih5Gl7AwWmV1CJKg
3TOjLu/+5y+OPAJHiUtMHHr9k/dT6HM5ufSqN7bed3+0TEWYW8Zq59Bjo+1eOWekHx/vqYWWlEEl
zR6Gp6fq5CkSdtLOnJ/8vq1uHUtV34FnutejlWdn9qXPLsVusS7N6609VZl4WkJfYaQxTRu7tgJE
HB3efPrghBD6/plX7eOywYGWn1GQX+CQD3HyAHFKmkyTjQkbDGYpYj6tEEpBcuYqny2nONt4QtkC
fGRzJ+tGnY+Zl5mANbWpi+wNLOHoxUNmFhHEXC0YqXJT7/HJOhPGyaVPJzzRCEOCgilsEbr5pFED
NoO8MRZ65SRil86tMXvO06AyYmycqASLzPQhfl4GQcLx1w/bJ3cE2xfsWl42fDSnKmmtIanHGhLY
e+5ih8Y0aTdppVfXkd47z19f6uMLzZ/30LtRMWBmMk6KEkAkrQ7QqNw0Yz5cEJy8HDS9bA7SZB4J
bik7s1Z9dr1/1RbLOvscQR/vVtosqiPIA5B/+mi292MPBoeRQLsVfundpoTi5WdWrLWkeL+x2mwb
TNcpuhAGWScryNDpo6sr9qkCbTanACN6zAxPHt0WrBPsFtpqfdw9zrq30Det8uLcbP/f3Tr5BP+k
wODkeRgxKL7/yhYn8A4xLBjGrirfkkz3r7Iawt8mluTohfGcjxoy2KklnrPKxVvrx5a6JpATXobJ
awh+LY4nEJta4704JB4RwhG1iqZn6TISwY0fgWcpZ52uOgACUi/bIvntpgk6AZVWxGmBfVHOgXEn
VEp7lvkrdF9CtK00n6djnka0qZnWQ8VyU3iDRIB2gOpcPxNu2OeNBslRTt0RvIe0tkM+uo96vyDg
QgUHnsCcK0NcUfuuB1QUS1D4DEGPELFD/Nz3vvF3GSMa6llivSg4X0MQ9Zn6q4iS/lVykR7MxjJN
YZXja9yUben8wbkJS9E3vUmGFodg/2VouxpVpNHZ7sYXNc76qeojODXOmL52RiVf6X50dzGHQhGy
y3fPSd/RlJ3rDIyhT8vP2NUKcdj1QrhZxsyG1FH6hiuXL6rszt8UhVV8b9McGWrd2m5Gb4sj98VI
d5kENaYVGuHbQ3dQjee/WW5bP8QwzvRtQ+jt65Sh9w+0bqn0nSBLPQkMV8kIXySJuXHEaRIuMaNv
4vMa+SJ0a/xmWPUAP6bOmDnKwdFl6CJlGIIRpUwcgKmE+FdoCsYBhkv9xgJOH21nIpziEMl4kW2G
Pqkec/ph9P1oUl7z7bK/aTPQBwS/NGhbBR70r9aX8oCwnoQ3QuSSpwyuPvyKEQwPrGgV5E3LOLWN
LAYunS8tgpsqt/ilwxjZpJ09PH293Hxc/h2DZA5bF2h+8R2fvI1yMlK/TEkaBmmjtoz2wYGNeMe+
vsq/5f39K0etSBmHSIoLOd66Cv2nnov9oUTNwUwXRFMbKs3Jf878Pi2gL18cOI6n247cte208lUq
mbbhgPAXhWVTE5rdulfg8KdjR6m1aRikpoGuYnGNBQ5pROs3IRiP7pKDehNKrZZhOdAu+forfLJO
copjyaLwAR1/Wl43UdVYvGUlDJzKhvqdxWFlyPYyNgUjGJNH5+vrffArYMrBb8UVeVK5rH6yEYxx
LRLPopTTQ+1hubC/F7tyH10sf4tLKC5wYc9c75N1mVrDsHHneKw73slGUGfV0Bt91WzCH4eHPw+H
wz7Ybi7GILwfgzMFzseHjq/2n0ud1BxMz0rRDlxqUi9TzVzEP+cEOCHur97A95c4+fXmmFVUrN/m
ave046vs9/u/j1f3Z77IJ8/1ehm0rZj5PXa1k/NzPYoYwS2XkVv1bbqWm/luuLCvih2h9pt6o8Jp
j9rkwKCfiLw7IpVfv75rHwsTro2/nLMYH+GDZ47WTIu5mwRti0ZkMEWDd+BdanYtFKcz3/XjTfv/
SxAXRgH3wfjeRL2ptbJL8c8Y8YtaCR9j6f+vRgeKUcH/OM47q93w1GpoSLKNgdin1Ilp8STjyoYt
mDHPzMnG/fq3+6iG5FqeKXjeMXDQUTg5ZC4OAUBA0dINwtT+EvRuvGkJUA4lEpSC0ZOIfxSlNoYZ
TpBdVhlJH6ZG4xy//hif3UKs8RZvHvU3eSPvl0bGd8wMuJE03PVuy7BxPBCM/uy3iThzhPnsDjIO
4CmhqWZzbnp/JUxjGXx4dtJMgxqCTHk5NNNinlu41pPXyVqv80zSh4DbjYPkZCFB6OMZg6vyDXvh
0O+J5LZWcYnfoeUxtX5ba77+VHc5wHsPBONr2gjvsSyb5BEUo3HNvAcwHnWFQqlUrMIUm7laR0D6
6O8A93X/e0sDZsQabcayRxP6FBsAtXue0SGtbUBFX3n1d7owx878+J/9KihTXXJHWCto0Lz/8Xvh
K31mrMSYfiAXFx7ifWJC9oIykX1reT5NpA6TOvNwfXLLsSdyOzi9cHI5tSh60tVAWNLitJPePvjS
BXDmkiL89SP82Zu0Nmt8nKR0VD/EfKV6wYBuZVNmlQXZi8F6Nm1iS2acyYBT+rQjmsTYQv+HiKPX
CxpjLyuGK7+Zxbngv0/eJ2NNiqO096luTw80RGwq+PNomTksZ6Fn0ERGojrvPQMw4Nff+5NL0RzE
SkhdSVPzX7PkP1WNicgUGCTgSEO57g54HgnInbhi2ve/K7dxnYCpIArKxZ1p/9vv/nspRFA29T5r
FYQ24ikGhFnYpJtbjZ7PfQZGmAjUpL3P28U5oDNnzqhV/pnYnH+Hz5NXe238cQhmraIfclLGNc6E
4sbj/DF1uaOgiDXL0a5nGOUqIlmbkK6/LZTkLSgrsdeMMb3n1bLeiPjIV9WJzj+IJ1V1ifW3LqxD
u+D91JGeyH00mCvPkagXkMUuo2XSVdLtIFZ9Xymz52mG3f/17fvklTTJ9cBSa69buHvybSJd4gnW
YftZtTk/M+fwHplZElxN+3uri9H/BgAhOfMbfvLM4ErWPdTYbHAfHLBF3SE5Htl0AG+g2+j17Fr1
EiEdaVJnTrocqj8uxQxRGD14sEfYVdcP85+nhtEz8OQk02Bko68JbFj1Y5AknGeGjIi6jRhIYQmU
JRC3IfrOn9J88bciNuU9wTg+AgEznAH7Xbc9+EpK31JEYaUv2dPirKpEuytQdfarqncrs7FQe2y/
urURUW3alzFpUz+NvNZ/wmg0YdWjGNhq3WzcDKjcNU6MtoPVOGLiiJlMlXA99JpkTsB85bc5LUvK
mgaGZoCfWLuDswcAUIcOdoOf1fmu5ZV7VecNKNgFXupNLhf0+oMn9Rvk4XEXWoOhJRu3k82f3ulr
0oRLo0ZgPYMxQ96rNUXQ9Jnz1He2/jIA2/1uIheHANi4zfyguV4V7QyWM7i+pdQuu7FhJMnEILv0
/WTmtM7A9wEinAMd2yctHAXPCAKX/qdm39Y5EBGAbN3KyrdjhCY4dy6ZziHDlPEsjwk9JaC9hO9E
4Tx7irfJG8F9Q6PnU6+NFw8rjKm5xGaXaPv8EuXUhm0X6Z7jV4xsbEJXRCBQfRMogPjy1osh2AXQ
uLUy8NU43/TOnJu7WRsQpxe5Q1yPX8TZcxuV8RwylG5/OnUJNaNl6c62LhzfNHCKir/qV9NikFFl
t9cIpjwtLODhJ0EZVV2z6TU4yTtCRDjZ8nQ1GH2tZpg23tQt3X4BiQhUBxF4HepMCy5Hv4zmsGm8
4Rv8FcRWGnMyGY4TidIFjPaSbKcBRNWKAQ5yOqtv9AiWhbgpkRZh3jnJcehTp96i5u+PQPxnY6+Q
ZiGBmwSiaCSp3h+wxhyVC77atdsIoyGsr/d5Vqdc2QgXhwHR5CQFGfajViNlsJrJ2s4EM7zR7p3y
y9aYW2Njg2AM7b6ZtRAt+WRvPW1cXpsp7oE9iwH2a8pYCPEAadpOkFQpElpjQq+JyMCjizHafnwr
utnkIbYik+SUsZ0R2xhMMbe1cIrfrCh02GSdVxpY6fWnJgh8ICE+jTsiZnJjanYLdkq57Rsl5UWE
pQwcJPO/bMOUWS670hnJniDLYnAuoPGntGuU3pg8+SsDlgexZLiW1ObVMmhWF0qRzz/aVo8gehor
ZVHLncLd9v9mQ1UEOT5YTD/ByCwriyZTW/g20UTEYO1nspwcDKF63dx4fYVm0kdXnV3kZTQibwED
aYR5m7rVYWkG5L0xr++8zVpvfIzdOrYu2KUgnactSOQaTf3LwIb1M8FW0xKnF4M5wfkkRYggtNG3
Wuz05q3f57C0UhLLMU+k8VvaiepprHPKcFfpdn1tqZGFshU9D0vm0ObZeoPVI+Juo+iXNc/ds3Jz
A/Q22XJ/JHUHbrdB5eO2Qpt6PeppLV4Hj9ErKS6M9nAURP4rQsYIRc+Q3dkIbL5BSTYeEqIEdqUY
c3tVk1bVRvOKBaGF3emXWV+25jYXxOrMmOm/oYuon7/enD6p3CjVsUfh16Vv7pwcC2yctna5cLJD
pe9tCsqnm1IT+dvXVzE/Xoa/jaOIdiCnIexn73cIx4txlHdcBtzPdgmh026Ko3kABRKaYbWTR/9G
32sP+cV0kewAA+38fb0rtvq23tlbDCZBdZwvvC0ahjP75Cdj8/efbP3k/9m72sbt21jnk+UBOezh
H5Bo2z9oWYLHfEfKTnAuBfGT0db7C55sljUDhzFdL1gGvx6Cw+tme3//9a/9ce9/f4WTgoPAeDSD
E1fQ3I6ghusYsJXMdl9f5LM7yiiHGHDGOuwHJ19D78yOWRG7dcMIcutKIjl4wc855D75KpyVqLPp
UPlMO0++SqaQySUwgTbkYrYHu7PFzsmm8k41dR1+/YU+NqYgCYp1ok1iDBTjk2NrbhM7pcNzQThb
Iy2KW/razeDUv8ZocS7LYcJMAhxBPUmQ9eOFncXnUpo/6cXhAcSjyfEG7LHx7y36z7OIzpA5mRqL
zTC0mXjAjVg2G9XrpA9xtI+w/EA3vhsRmrxqielckp5o2hDVY7lt8GpxtIyX9NwL8smNZjrouhRU
/Dr4KN+/IPUaZTeBlENPpaxvsKYrZFb8hldOTYoWLg3L+j32RWOiCBso05xYL/zASEeEXL0wy592
IubvlpOaM/FaSfXz69v2yZgF9uXa5eMEunYdTlYw/Mmzqw+I6vXczqprZh5oM5XScY9VMzppFLSp
jXrbi9w2kLPq3uwp8opt1Wh2h1hb5T9l6aV3w6CWVfttzBUlY9fgE9eXZU8KEXEMMA8wrblSanKv
+Ul+cDzCn4KkkVhKZC8hbX/9tT6Au5iSol9hEmjTJ3WwYL//2atliXu8kthW85xxft7lJgk5angD
sDveUVY30WYoDZ9MIHNuflfA6VPIgo31qEHH7VB4mdPWJNtbO9h63j8kgK4r4tPgAW4qDBLnEtQ/
OZy7fEoGilB9PB7ikwWBzpnsJ58JX7GqZsD5LY+eSQ6BdKv8UQ39jKRW6L+XfEl/JByVdziMjPLM
qvTZp1jBO6QoA81kwzkZuvUN+J0YfgwtgtHXrijekTuNw5I+Fya11wb+7vxjIqDFIfhhmUYC7Br5
Uy1V/uvMDVyfu/eHWI5DnLw4v+psfKcsFcKUcb8z8CP9poPH2XR1YMBHvYoNa7rMzMY96J4U27xK
57suS6ZvPBA4c/Rcu3WrKApHOiCEuhjzBSepfOfrkbNnqG0dOyb1Z562dRk9/azwCNFmsdDCUDh5
xwUwMHpmvEMoAuJdL0lp7FvN3IEAiDcRkV5nfpxP1hSS4aEYgFxZaWgnd2noyWsqo6nYOIyFbtY8
pwvZzdPFmVuwCmBOvpbvri03KCSIM0+H3Aux4X4Wp8UmJTCIaLxJgSbQY1tDtzppBFpZvA5V4Dod
PjLCeKo5sBnBv8aLcM4sox9/YU+s7WY0hiAimLa8f50Xt5hmn+QN1GZ+/z3VSWlRRTc/2+QBXyLS
TL99/d0/kTaxYCMq0+k9YAI7hXL6PfkxiLszcOeeinYcbZlOklso/mbeuCTbsvWd347ZkJo4IIi7
s7Es/HXyssXR5fRMiV2zto4AH8aWwbAJ/oPwxoiVtV7NVwh35M+4aON7WPrur3Z0xLTtcfme7Z5/
rAD4HmBQVsAa3JrTF1pGLUE0FW1ed/C1P4WCo8A2rd/LjB6BTArrSNEpcTmQy9dldnaIPIIIzQJ/
a6DNWnm36MV8AaSJ1hDo+jONz0/WG7YeOmbcVh5kaFvv7+uctb4RJww2VQ4+/MKMEm04znU8dew4
rkm8hqYeVD/Gz+RgVAjgW804+oRnTGe6TJ/8TgbN11WVB8GIIub9B1EGkQfTbNDSnnz7osNthQmr
s67ovJ9Tc36yN6HMQzULBxlx1gd1lmGmM+YT8IxqyZydmLzuEux98Wi7efqoA5XpA15/sl7IoSEO
U1fkOdjxldKd5sIFvn9Aj1vd5D5pP3kqSX/SsuVC59yVnxkSfFyDaYDRk2b8IigSTufBXYI6oQN/
uZnNUbyaBEziIxTdVZ0B0nJJ7sBUOzQHFKvWOUrwx64fl15VHx61AdOfk7KkF5HZLmaNwMZtiYTg
7Jt2uxy9Jx64qaiZIHvpdNuJOL0iZrpj/u5K/9eQDeM3XwxKbAfU1B5utkpdV2lSVeGiStch1G5G
fOHErW6e2QQ+LsrI21zargyCbOhcJ0uUS2bUkrBSbszcK67pYsSho5Ok8/XC9Nkt8YhAIAV+hSqc
Tt6IkaFLNuBL8uJ6eMxLF+8tG9PbRNVy1yk5cRiOVBdUlONnAD2foEA8dmKHORfPAovE6SkUwXuh
jV6+iZgSXdiAgK6Ukw2bDh/WX6SF2Xby62jaYUeebwsfMVyQRab8hoXB2ROTEt3LfGnP9Yc/+1jM
3ckG90G8MdY4+eFjw2+ZztXFptG7zApL7D+P9UJ/xYX1j3TbyH5Z5EJsDOK6Q66vP/U5OaBb8Ezu
IZJlgxsvJpv46xv1yYJC/x8cJFw/hMmndb82oa3ME3w6S9YvjyX9ly19QvuQe8zZ/udLcYhkugEp
B7j66dDKmcnnwzCiNrUPhKIF2RAaaZof69E5p3dw1wX5fU2wSuwcYFHrgoDE+P06mUS9imRidZup
Kaz5FptgufUZJWaHRI+bG9zgPQzMpMG4pdUdmo/WiTCQKt98ybOW/kxdLsmTRECoB6nokzvTq2Pk
VS7/MrRcbXX/ZYu8dN1sflkME+C1T61j48sphXvjDZ1JtBDSlB/oWfUXKCvqpcCe+axr+m/Db8Qz
ljvxo3XUJRO+YrcMMh+2BNylwEuqBVhIlMuRQCXVklmUuUrsIpKM7pWvBJHstUBL1Em+etCZKdYj
/EdgVrQCtfZGawYmc4NWJkMwNX70Rx8xSO7zwp900mdp8gVA9mHd1KQQF0E8gtxYEytJ9J5Jxfjj
I399TqPWkPia4unX6PDrBdk4dROa0WF5secJCoJeYtEKapFqlAtQOZD6jeb0tzBYTvYWkpYZY6lT
PJmx45w7xX9cdpmSwR1aMabr+nLSMMDtjj3LohnKzxkdODtbodX6467JbeMCbkmMpXFSZ9a0T2Qg
7IOCAc9KbVtHk+8fqnwkhEy1lCH+jJvORv51TaySeUdQIWG3zeQ6ocLIiQhPGy5GZlshs8x+X5il
cd8Kf9khGrMOMR4tjnNC+tcV+NQzFeg/qfLJk78mNTAYXjUAlIYnH7IZhZEmq9bOzmqdMM9kIMWF
R/1PPzYNZ2Np2d02mYT5MGOFeZq9OjUQaPoaaBIx2W0AfWeC6MdbQIq0L7EaW/6yVoNKjFXQk1JA
IYZV72jqhDOhmG81LdRtUBbwpD1qSpz56bS1ZJ/6F5jT4gc3y6s3PKBzuvFS33xLF85qa5BvdtvO
TvRbdVXf72LfmW8huMhLdsLE4hxlan+6Dj/LuV17fftPfqO1RbmS/tay4bScM+2o1HpGDRsXXMHW
FX4e0q7NthXCjh9p7A43qIU9JJkMZkxK99uaGvO6GJxpv5RGssmJlGvPPF2fPNJM15Cfr4wolMEn
JSaCxtiLHKlI/tJ6wjXN7m0NuQrbMo6CjGEbU63knF73w+rvIt1AXEHnB9W2dbr6RyrFi7JG9rSF
Vh4iN1OX+PSoZhqiyr5e/T+Wk1zLM2D2CVQLtDpOHkx2WMYqNllZXgVHahtNmnxjcKE/pVGS/dBI
GWVdigHDM2MdH1HNkjNBu9o+Jsaiv7WG/tdpewiEs7k82dKd/wCP7O6z1lteznzSDyUSugqEULbJ
KqhT26236j8NOg4BnasauQZUESOwX+JOjqRakLWxs3Q5p0c9w1ASNoT2QTRol2hcw41Gxpxen9Aq
BeW4bGo6/HPQkwNb35ZDY545kvxDHb57hvmQTO+Z3/sOzZhTU0vFi8HdMzE9z1b+c6Jd9Xe2S/S5
fmlEL669AOV1SWf+HTdZ9jwsAuARVm6KnQr1vLWJdWx7m8ItJJJYfSzjgxgaHBBjDzjxAIeSSt7/
d4TscIPs+X6wS2KrQTUMYSYfQjhIXrM1rIIBkqehXtz7Zr1YZ8rVj410l1QcerUrYg6P76mpzHK7
yh1zZDRqKK3DkOnMXUwSar3EHei3kFIKEHDY9jSKNglxa998bLT47xg2n3ksPtQU6yeBQIlFjs67
fmri6thEzQLfK5cpXz2GoYFhq31iaJdxGut7Y5h2aFUO7gwPUy4lY7Xi3Mr1b/U+uet8Bgd1kW1Z
/P/J+S9i+ayVu34GQ403Y4xiEDCy4bw6pL9HhNGVRIXS5Q1iVzBwikHEjEInIQXVw90qLwlVUi2H
kSCwC/IYxdG3mENGvUiu29HudySESaA607QvpEnYSURrj4GawMafF1unttodb3e8LWWLqV51cudV
8BBq0YErrz3jymvb7vnrH/7jImUgiQRdxKEXib84KZyzDECl8m0KG+VHT4uYhm1X9+4Otqx8+N8v
xQ+7+goRJaKQef/mQ7LJ2y7FTddbIwPnwpl2TYcPHAl7fabw/qeWen8rOYAhf+QVJgiBu/n+Wp2r
zbGUGXtptcDFleNMzYaFhVBZL9TzBBps7Vf028EtBQPnHKIQk4lwHto6o74Cw7RpDoQrRcbG7fwQ
TdEflpoot2Gs5YthovVPPW6nF+vWXZmU2i3Nb/0u9l2yV7I13loO8W7Ky/7/KDuz5biRbMv+yrV8
R13AMbfdqgcEIoKDRFKcNLzAKInCDDhGB/D1vaCq7s6IoDFaSjNlKikSAbjD/fg5+6xdgGKo9EvT
mZvLCjeRD81cy3P6kZM0HYUXyKkmjxY9LYWPw/s1Zjm7kPzLTe7OzqueVEUVQl/S7vIIPcmOvXrU
9gVWtXQck0RLLzggg62MqQ+DkJri+CeBCb7uPFPjYuqHGGfZyrZlOClLv5CGR5dBo9ykBEBS2M+i
l+aP92fHyRbNHeAHxB7G60dG5GiLJiRsl2TBrbPJxvTGwCP7Vg6uuvQXkaO19EmSLOm5ZefNi5I7
5QVY+0uOgcT4cGC0jrESulLV33GMwwC9BiIG+8/5suTT8mj1njwjzz2tUXGrxLlI3uixAiN6lNdI
a7iH5PloOjTz+gL7A+NCYhQdByhW/Ksot+rNwm8cMDAGD+eVZ6P0BMDFYLQ0L2TauZT/6Z4sWH0J
2lh36Zw73gZMCwClKuB7rj7sULb8Zr+KRs+8lG8EKQLg+3rb7DSn3lJ2nMrKt6BwTID9H0CKllmg
4wrshBn1rqs5UUgWygm/y11SLwkc2jFRqHeGZnoioOgwaG9o3dhqg0Qgg/3pHAWkExEQchpFUZEk
koTL+9PyrcFaOwkcn2YIh89/NC/JNeQ5lUs04nPrfejSMn6aRVNsaOZMLnu/s8MoL62bGrDa3Wwh
moQjM31w2rHbgZqav77/cd5Yrkn7kPYnSfnb/ujwPR+WVClAbuXGSIfsq5OVgMFjJ/qmxz4h1fvX
Ok3MksFiN2SkqJ9RBVgj/b+FajMoAd4NFpXYj6ZtkjpX9NbtyFYrmBVdRW44/cq0BO3kQZAoi/2Z
66+L1tEiLhyk8hbL2urDd/TozSJHHgp8ZtPMWfmQ2U2ytaDQIP1mV5RLpj7PFLdvcYAZtkYnrf2C
9SuQrFI8dsqezwSFb7wknB1QYPAbr8lxhgWj3caoTCzMcwNVTuxo9oUNXf3cS7I+1OObXvM3BhEI
ItJjBLZrLYlIRp9aMUdeDI+87l7Mov1i+DHFR0PrS3en9xp4F1IHLnRDvUuCzswL/prFZpZXepyR
UC6LZvv+eLzxANi3Md3xqBETwx8NRzJ4OjpahiO2SS72wFevnbyxL9+/yhsznGvwfAEQoA4+7ham
PwdT2xQTn9mD/LSMKVZ4RYYYGyjCmXf7rRtCtMPJzMI3AHXw4fz2cFVdYp9lD58E/5oTOLJWj+a6
h/fv6K3LeHRi+KQ2aKY8fm74T0Bt6+lHqhd0sl5n+deQac55bb3x3Eh+kihn0qxS2aNzVZ3UwutT
UpyZEVcQ4PRua2pW2SDRXYwzr8Kp4gc9ISd89gouhNDjKFJubYA/CfVz1E6K44EGbbVsjeq2KsGY
FrUBGXAxl9CravejMPFSzGsc36PY8m+pKGrhgMf2LsVg/NOE8OtcBuKNR4HCnQ9IFZvS3fF2Zkg0
C/RpVbBA22gIqFnpr2KJne+rQsP7OEfEjJcZrcs3MsP3edsX1XjPT6K+6TLhIgBOetkFnjtBTjEF
O1bQIkA+p1V5Y17QqLwq0tFerFDxw+lXxyk5Q2SHG3IW7eUg6MVfzHNb+2lmnAITOVrWb4uUPT/q
8Cp4ufhIRIcWm64WtP84AcaVyxAKHAJR1aZp6ILyusnqLrmpYeUWIYzz5Cuo3M+LoZmhQw773Bq3
vlhHaxzmkuYKJnAIJI4NfqqxblGzWnCTald9kla/Iuia/BcM52VnqXm4QES01bLyFXOEcWvhbbxX
pIXOLGinre70HnD6XWcJ2tGTY77eRxqaUJ30oqKzk2LSL1819R5cVbGlvJXdtWSH76t46aHywibN
xnlGE69+5p74JBSMHq8drV+t3sAYQRuzdZp6weQ3AZUiXffMfriO1OFTo+0bBRFpfv7hFT8cSVC3
vi0rBlHTkMH2Xe19hKfqXxfmhA8SvWV7rVDemYLPGxcFvM+bTtsEHivW0SRdJJ729gB5qYsWFn0w
WB+h8fT7ZqrnTRNpVVhTIdy8v2KeJoMx5WWCYG/D60vL61GEPCZOLqyhazZTW3ZfEybRQ41I7osn
lXUD7REsGgQ4/8VxEgCzZFuEsalswFd0J0fFs5P0yfcOwssNKgKxas7c+esgKufzmc/5xtNZ1Smo
btDrECStX/9bhNQgg2gyWzYba0T7zEKPrV9hWMsXT7RxyZ4lyu/SyuY7Q4unzzMgurX13Cq9MJK9
vU2R6ouLui7LbNsSvV61UZa/QmQs4RtlE2Dn9z/v+tiOZhCzHUUPoSP5reOP69ZzI1XFx00Lsw0z
nYbognaunZaU5pOqOvOb26fQpBOUaO9f+XRJhsfhGAZKHqIE3T16UAUtZGtT5FpT0BUhZJzcxD1Z
jgFV7Zld/a1LgXJZC2EchGnWOxwT6N7kBU2yOCNt7ltAin4gvWwMZvi2Z+7qjeFnkwGxQpS6KkWO
ahYJRoexplOzcGvwoIjXa+/7Yor4SvP1GRIwJGy04Garn3PFeOMeeS3WDjgCF3KoR48TpFcB8FAH
3GK0zTbuRj+srCoPfGuMz8Rjp+JAFxEYYhRkdAg7CZUOn6dXZSh8gHdvMEKtvI1Ekf1atTTqrZ6n
EG7zyeQALehP9HeTG9lq67I2LReycCDqaxogzICIDttZOoo0+LYlVUqn9JJ4AxWvFZcx1obgtuOh
2fqxaKJQg5/6TTpZ1QYj0noflwSi7zNrzBtjR6l47dtevdaYL4e3JRsfFUUZyU0+2ckzEelwvTag
frAxI7xHXaKH5ZJln95/DU63fMIltL4c+jnToJU9vKgXk9nDrwWES1NHW0k2MjAzpf95eMZlqAgg
KaYJDOTQ4WUmY1C01vl0baezoIVhdj4500J3Os0qVCMp0l4C16TL0JLNldTthgmbYSW8JoEhSoIo
IrQK5rSL9oYSpKDffwrra3G4DFlIqkhUIXtZeQZHb6hXWBxfpE5rD/4G35wioSEBNFE4O3Bdg75w
kv37F3wjXqWNVl8JcpyJGPGjLKeGA8eMy0G7EYmnj5ChHT/E08H2QfYYi7/JEkWDQYK7rB5Ysenu
BmNoFlh6TVFAGI3cOKi6wv2W6GV+m0bdALByKM6kYt8I1ZhmqxAczMPKETh6Liz78dhr2KqWdWNu
ocw5O6GjrcggjnwjWk4yWmtbD8tnq7myi0nt2g4LRiDz8T1CV+ea0vQ5EdwpDI56GSPFKBHpcfw9
WmpKrTLgDwvAPZj7SPonPfdHLpPsa2LL5bXOKQjvfFI00TaXNKFsx3oYHkhclfUuijwcFApKKdAj
4FZ+1tre/InkvbNCr1sMfTMtaIkNChA/zgz4aYRJXEnegHmGXxtShcM3QDWI3PRW1wCmjLiNjF1B
kWm2p0vRzPkWua9FW2My7YzWUTeN7/Z2OOrS/AkS2dm9/1lO1+p13URP9jtCoEB3+FEkSF5icGCU
XSxfaPI1rv3B/KGmpj+TVzxdXLjQirwgeUptzVu//rdgREvctMQ2lAu1KtoYRp5R9aVu8f7tvHUV
FE7MUsg8aw388CqdiLKk6TkM5V3CpBgrbzvV8J/fv8rpQ8NliGIBfYfMPXbyw6uIsYYJ4Rj5Jk3q
drMKJneQMOOrTtg/37/S6f1QH3BMFofVtpyo6PBKDefmFT2PNWxeVde+ZZPTxwlh+/5V3liBEFRb
5BHXKIiw9mjl77GjMo0moh9X5f7HVE7qNUYoErYd2CbF1PwcF30W0JOLa/KwjJvCGMYQ+mqziauW
iid0nesiTuHC54N7Zo8/fdqIugwiWRgmEF+Oi0DUFYwoKgqaT63mZ5QXAgBmZ95nXt5/O/McTl9M
GBgr/Y5CH9rl4xfThP7DEpJrAWjCntdvMfIgM0R3hfgz26pswp1eY0/boIYVYeQk3eOATOeZ0Fn8
MWWBSh/N54hODDh56MYOhz6rOBgqCkVsdyk+d/oyXToizs+ddk9rM0SHPsdwpP2rn/LRXI61YUZv
BIixEm3+5BMEBKlHfQb0MiIWS8/IUIDMz/tx+GlyugzBYIzf33/upyOMMprmGyph1LUh/BzeKm3M
9DuyZdHv4KS7ZOawSHJjgNHfnHuqb2xj3CMnInYy2i646OG1cPBjzS3xMPSSGjsguy7WbH1a9Mb1
WNsVsN7Etn8V9eKmwRrEfJxntudNpFuIpyycafHr0kfKIUvnZe6ZsO+tT8djWKPm30r940GvZjNS
RleWZF0Gwq8RIuNe0Pv72KO2fATr3l5l+qinm9ike8kr0ngPp/veqzxaSGYOEpexCbTgzMc6XYXQ
AKOxp8BASMSbcfjMMJ4oEq3PS+xXhgJtm1VeOuC4/3QrQmONrBklO7+vE+LwKsaU9TrlrWpDXUr7
Lou0vqaUvlDut/UzSbiTG+JSa0/kuoiTMj++IfhXlqw8BCm+wpJvzMx4z6n9jzO4FCfQwTorRgLi
4zHqqYo0rAoVMHc6FOQFiivY3a3nhu+/POvLcRCvEq+vZBcmDW/wSeI7LdxlimDfbgqvmp6aPDWf
TJhkz67Z6ZfooJ0gdvT2YgLPDuNyqf981CzTQYfH2vH7tHk4amk0+nXlcMZCrLImW/1qL70Bg5ga
I6f37/TkUIQYhJMsw7ZaYxI5HV6KjEGZaB0cDiFqwFVlUAkDi6qrhEjZ7M8RUREmnT5ZDl80JvKL
EOlYDOQpFnmvwROEszm+EWoAurchm6YjQamE8jd2PuEhMZVmfOsMJSZ2M+rul6IlQxZ4tWn9TGNE
gfvEjtXL0pvzNTXkYd+AQxWb0nAE2vmyYouJpT3T/E/9e0Gi4y89i3GBqHOJjeEe6YPT00HS6PYD
lhKDFdB8gFCLvCjuW4kxt49JJHp7Y8UK6ETUK0h3bqvm8spyBTrNigVvQzc2NDY91jBi7tVo0Mfc
W3kaJk4tbjrNjzJYIGN3PcBLAoFfJd5rmczjhSOnQsPsKFuA4aMrpVl6dNqbleuUQTVUGC767WAm
Gyr52kvmpuraT3DEoRE+NZkPcYxl9qBc7VsNJfFz7EaCInY7fxnczvwZZ7X2TeqpXYH0sZM6GETu
+qy7g3aDQ66Gv7qlJMRAIpLmw7jSbkI59hA+iWdA8uX6AsYHrUumXS56ku4nCwDPvoydZAkaIWFA
erWk2R8POT3UOuF/K/Eb4AZpFvsiMb21An3QMbPSZrq4bvvEYlEw4CQixisnbJGGYnac7WA3eE0V
2QLHGXItwzThlJ7tqKbKr2NZlwLoebeA6eqz6bEvGmGFLlCBJ3wYyioc/B7DEtS3rRvUaNGbkKYX
Sg62MQMv6mjbloGa5fC8YG/4CA2d6nImm77aFcySGCGgnOqtj4difbVI0EVQequSesAAXxaPApLr
4Qh5ewyYZY4dwlWmOoWLEC5XUyUBy3F4FFPorO1qYe4uxc9s6SZeIrj2Iognz/hqGkhOgti3cRlC
QjU8D3656LAFR6I6Ur+5h5GZqn8ijximB18fmufcsi00fcigmCGc+j6QoNeNTW90qKpTApYERZQ5
3uk9yMVNlbjt2izvAeIo50Suluc5EAnepySII+U+QfjI6o2Z+N6NXNrxg8nT5Me58WoqZ47Wsl3o
ccQTt1kUUvJiNSlgIrqr1i7H0KyusdYgL8uS9/7Cc7rEsjEZxhqFr6m7453JQgSwDAXBrtHQELOh
jpvsfGSCH5o0tT4tkz0/qUICKsFtMCjJrJyJgH8z+o7WeBZXB3ESwe56vDlc+TpQT74cSdeVEC1o
Z/OrkPe2vGwc5aHDWJxQ5Nm4B/ZrbkwP1zCal0neeEizDCQqAXF8umWJGu/ffzBv7KOkQE36H//N
Cz8KDBAyLVTpLbDruvRu66qYHrpO9888/tOoiL2aMwBpo7WxBGHm4e2TiBGlnmTlRlOUPtSyiywf
U2T90Y7tnVvZz2iJPmTeAhUS09fZQpbRxPptW45nclcngSraalrHkYKjPDcImg8/iCGk1ytBF1Nk
ztF3H1OIsKqX7rpx8Df600fLq0B9AVcBAnTyQoeXUlajCuLP1blAuntpFtEv2bl/bF1AeW8tLpFD
pUGF2XV4FcufbbejooRzZp/vlBVbj2naxWfO/m88NqQ1K8PNJcVFNfHoKs7EGVeSn2mjMcero112
2Jut1FP3zAnudEIi0lordyh53tDDtCYVchdj7o3t8VLkqTvvIokk9/2xOZXdMCLYYlIchC64yu0P
b2iwu6TLUvzbfRgkuCVV5G02i54v3naIqkgGdTMNDWAWfAkCLZvV58Z0VL2ZbJWtoPlmuBzMoRjP
vChv3D1vCXpAMjqsU8cVlC5pCqsdFYiRtnK2NCV629yA/HPm7k/jInYdoiKyoyRJTyaNoHiYino1
f1IplgZTkj/AlaHVvpfNjkKufUOy0P9kTCY23JVNi5zQ+gTvCWnfuUaRPfFscE8jX+8/moXvBCTa
1Z8/CofzrIEyBx4J4f7hCEXLlLVZTjHJj7E60fWeKNynW+b9R/HGA+en/07dEpdySDq8Si6aDnNO
MrduYWAp5w/qRi8K48x0e+P1QWKEqxK/1uTr0UtqD7kzqsyQq+FNCx0HrZ1dps1FEVnVubE9yYCs
Pfrr4CKcQOh44gMQ1TX7ecNpwh31uwTnmOds8eenIbWTC4Gn+90wGPmnOIpTLCyE89kac/uxGTkt
v/9ofx91D/c8PglZL3QBq3vL8QgmEup3lKLHc2CLpVdztOhfknzov3MWSVF90TPfBapRlXcNFcx8
NlSTJVejk87FpvR66yGiUvNk5DUGgFU+6EEh6uFy7t0p2RbQOn8AZEVTKkjyXhf+LLvdsij9Z94r
bFGJW8mqZ7Isf3mRakVYxzUJxdRanKf37/N0cCm0IG6k0mCsbdxHU6jPnEkaiA03oGazkK3dgluc
iS8GHSNnLnV6fqIvHRYqhyfUSxBIDmerTQqZlpaeS5lmKq5aXSxeILPauvFMCmcXLv9CG67s5pyn
yBtXptOEwipZHvIHxwJgp21m8ECYC01C9c9VBvwac41uZ7qN+U0k+bSzoiZ/fv/Jni5TpM9wdGAc
Wa/036XDv2WcwWF3zCCAqN7SIRyNlG1/huhlf+yidCGUyM81I59i8lbULPxPEhhUPRnWwwecc+bR
C4tOijw3mofSWzBJNujzNHdN7A3m5RybcYtPm6ndJ8KnZdDLZfHg+tWAJVlfJHepijjt1FKD6mWg
I33IwXqHJmaiHWIDSLKXVH6aH3VXtfcJuwtlQDtJv+LY5IP9xI3rrqP9GZ/HikISdljaEJiDlhVb
Gdd5/mGKckcLsINs6N0aZEtLmKeVRuhYiGlCjmHWL82du+oiww/aCoh2Ycg2LUal6ZLPX1qtdZNV
2hgNF1NMmBBUHNaHP13t0FTw2q+Jk9Ud6jjYa21MSTEwxJts6boPJPoH2hUwULboVAjfnyEnigNS
Ft6qVmXQ4A/46/L+txkS02rl6ek4kNN2i4+5oDFsZXS1F3iTNBecuGNaKFxxE9U5dMD3r32ydXBt
VnOiB/J91K2P5gr9XlpMRyX4FDrCrlAg0IMnfPPfJ4f//jH9r/i1vvv3etn963/4848a45o0Tvqj
P/7rVr5WD337+tp/fJH/s37r//2rh9/4r4/pD/xD61/98d86+CZ+/n+uH770Lwd/IGmQ9vOn4bWd
71+7oeh/X4BPuv7N/98v/tfr75/yOMvXf/6FuUzVrz8txqXnr/986fLnP//6rXX+77///P988eal
5Pue8vYlrV5PvuP1pev/+Zel/0MQizLksFBIKq1LoXpdvyLEP4iHadHGqZzjK7HdX/9VkRJI/vmX
Lf7BVzgGIsDji7/D2K4e1i9Z1j9MwERryzvh14o2/ev/fLKDMfp/Y/Zf1VDe1WnVd3w30+5vO59u
c0JkD8bCkhKhSwLqcFqWycAGMLQAo3Phc6jMLOZH1/7ZBPz3VSzU2iySCKiOeRI4QnglhBwVahEM
i0DHVJfeinL+/v48P3rHuAzeRSZxP3IG9rnj4nZvl+w6TjIi1cOnukn0ekMlWUND56ZXLjTAJwAI
CwBOA8jv+5c+Lmv9vjaaSbi6RIAUUtbP9rf3u4yoa+hFPbJ7ozr6XjS1t6RBDyIVw9qxKpdtP1Ps
2meCenUI6Dp+7o3W+FqJEqFHUna4A2uDyW4Vwyik9QmtTHUD9Sb50+WAj4rUFw0uF2GPxPnv8KNa
2IDnDsLT0EjM/p62xyy+dPS5ONc8eLQTcx0y7EiCKHzY6AuPY4AMAzSlnGUK+yLvuyAxxWTfir5s
1EePbvx2COQwLtkXUPq4j54ZkJOJTUWL1nyXZMF6gvjd2Pi38Rh68jmNmeFVSXt8uAA/vTabvj0T
w66P6uD1oa5DgMOwowpc4//DR9mg6I1YTo0wo6n16+iA8RptUz7b6fLl/Ql2FGGsCwfqQ6qFguYc
YqujQbNnX4ITA0ecNgZ905UDPgfjHTekIUm7LnKQxn/+BGlDJ+HPloUa4/iElw6DNQgnM0MSxt5F
wrlgMzm19meJ9t8LInm4lc5MyZkA/PAJAsqzWivjKqYuo/vMifNdgT1AmE2peSn05tms5+Lu/Wd5
MjFZhP9+zeNFDz+b2cLfOCTlHgWijBY64ZofsoT32Xt0XHqx654pA51ec21UQalGZLoWUI72YAgH
bd9lo+CaWnQ1Qmm5M8xlusq12ioCO1P4jI8FQdn2/Xs9nTerOQHgDQJT2r6P10QwQZqXNb0Im6kp
7ke7TV6KJUL6TPvEEOC9k5/RyZ68EqyA/EISwTFSUJQ6HNA692jZbWw7NGgYu0V71WBkrQPKDRuP
1Pn7d7cmJA9fQWGRHeP9JsDhcEy98OjBGnUjZxesRdg5UTHuB7Km1ZXM8NH5nPWYGO1jbjLaxVit
VtQ3Cwf8bTSvVFTK1Bc2skHjZSomCoFBnOdje9XR7Rtfza07aztJAh1Pa6B4ZLcnWcEdLjKE8kZr
R84W+XY17lnWDBXMbofr+zBQ2sMEl+xoILwhbfEimkt5S1J0sa7n0TWqK7qdTfOzt0xuE+JvAPfI
vPSLxDe2Jv7q7FvIrMVFlvgT58+0mUDjerOqP6jaaUDb6oMPzNWJtB+QipUepuSGvtQVKP1L8DNI
k307ccFcj8NYbaK+BhoXY3ZkhDNI5SgYW5/kbYEtXBCVkvIEdKsh/5jp/tCRxTVjsY9Jdt+pxlfk
+BGSjXdarhLOFcKVX+Sck4HHFceWu6lvLI+oWRMoPlvdw/aF/Pqtx6HQvHBivXuOqL26Gzp58zYJ
3ErO8Q9WRwuMsRSxmKnkRF3Do5VYj6sOB3PXeur1ycI+sZ5RTAms2RfKGBEWP6v9S7xZCOGeIUpU
AKGKXBjBVBdQUWLhFu31gjj5QkzDoG2t3I0w4zWt6JMve6XvkaH636Bo9QMZs3lsnGtdqRaKo1VQ
knhQbBfGJ6uxs25fznMp9ktj9RI2ylLX8VbzOatfIOzErzeZxlH7oEAMZYg6UYQ9ujXmfQEWASa9
EuBp1bbue0fbmkZWDDTt905+Jwz6aS7HprcoX+oF/413r5VRr4rdaetllfE5y7CqDyPovdddx7gn
yLU12X3AVNZ/jOe+NoKY8xCNdXJsnj3QKTo85z71UdZGVn5jy0zOO3qJosvIYgMMfFhiRVj30nlo
2yiZ8AfJm/qadZ1go5Q+RO2q7QSmYm1lvwBGI2BqPA8dTi45pX9p+t56jaokncl2LyO2VNi84hxQ
6g0KmWxqngHQaI9CNFO+M00NJFldRKhcoTGii6KWj69vGecw0Ndp84uZXwMHruWoBWYXRc/5MDYy
mJwBX27hTKkMFyl4LVJSPlf1YqsEZWwvP1UDrTx0Oxb0GWu8RCavFdqxvVvV8ee6qFp+SK6hCow7
YXYbdCbNdzOmm/kmzeoRSzbhzHSIeflMTXFA3InQJHHVRqnI+OlrQ4sDqfTmielFLnbDdfof2HYC
yPHcgs2osxQvw6C1cx2WysREmbHL54s0gQ6+60ya03ez6UnKtJZYhltJYAX8OSmktdVn3ptHPFni
+J5NMEt3gzMmA4pUs7mZ8QanwTjty69DrPQv2thkt+TRbWuPnyAe2XGGz+9lqxcKTrYPKOKJlnId
8LjUv1JbnePtint6qDrU3d9yQTF+RwuoDY4dVFrrfzNjYPp3lOdJTgQjNmP8nFLPu3JEQUkf4b4Z
rRJAlq7az4ZVtt2d6Q5td52iunoYzdhOLvW6FdiMD32UkHnWUR/Rjj8XIr40RaFPm7wCR/FBFkR5
u1bMnbhr4tTt7nGDFHS2eH0Lp6Zc4GAFdpXm7c+MlMX0qDVpVl3wblbFViGE9F5jZ0mjHdD3IduI
IQJ3PdB8npA+UYu2qXELr+5dX3O2M46P2BU5VT9tWjcuaXd09W+pp1EinA0n5zPbXf4JEDoO0kYk
83uCaP05WSx45Y0n7RCKUpuFuiqaK5KC+te6NKZXhwLsr4oowNzbbZPcyslL5R0dUM33TKvkN7s2
1SdBKZyCbdx4T/rQ289629tG4LqxvsWHjoodSXDvPit87af06+VLp8y6oXVZuNmWTofOvQIK1uwN
Fs8xdHUCyKDVbdocyNfQ8ztnpLlNWcgbOp6hWS84wW+8LlPjrp27eqL4lviYY6d+xyNEM4AhgBfJ
D7mftI9uTvIiGBtWxsCfFmsb64lyAs22y2elK5bVwu2XaN+XOMuFHlbnUISKcXhVftoZG9Bh2nPc
5OKu0gYN7oQYaPMHRSReMUexq51YeTFX2SzGC4+caIzpYc3bjtNfcVFjXtXCSOqdF5VjBxqIZBq+
dAbI26C0tAxKdzZPN4Mll094l2vwfJN4JUjYDslOGZv6sgXWlhq025M9Zbiz+rUs7OzFzDNaCrjh
DJsjWFpdWNgWKtZxEa2+x1vejHe1lnmfTKNo2kel936M54I5vqxD+6MgTiHA6hWKZlPjTgPDSVW6
n+18+KhcffI2fTFZ+3KszH5bZ118h1cDm09WzcmX2eb+Q8/L6LlmF9aTjZjaRoQQHEy1iaMqv1tw
IG/Dvutn72IsNRblyLcadnBXzlnYL6n2va0iBfNEq1e8QqISZ5vPZvWtF27k38xTkYPiQQNQPerz
iK1F6Y/Fx0rBat4mFfSTSs/M6ILiWfqaFI4Ew6m5XbwxK1v+wFkOh+d8yDR/3/FEf+FZ2mohBhW5
YmWtLEbUhFxiO30c7YEF8vOkmG8jT9kT/u3+4gQ+KGWbvmWn+Cwm5Ii7KvLtMbQB+eeBB1R22WQ9
IXOAxbmd7AxboQnRDIWHgOvX6d3USlQZVGCMFyzu8Bow9FSfAjvPHRWIRfNeiqKKvoDv8AS2gTVZ
y8iazKdFGdrMyBoWvYn9UL9oWuUUIQ6YOCKT8R9xIVyx+oHTdtM3T8Cy27V+2t7HmbskIWcXOZDX
9Gu1r5TX4bO3EoVCZANAokDL6TtkGNgH8IY0V05nlvO2NZKiDixCnu8pi+K9x+ZchaUVoVUZPeV0
u7bKky7oib56/P08lk0jqfHgSL3WNXedtej95aj1Lu6jXm59LbyxM8N8WKIJXbPIhi3wGyrD0TLS
jswH1Cmi56K7wJi+fZy9JNMvo6oYvM1EwmAK/XSROoiVptLCFC9YgIl9n9y7xKUanuu5zElktzPm
M0Mqt2ZLinG3FPb4PfPGnJAVK51+ozmZQ1dJ75OBjlIHoIKVrGahczmMhFVtHt9k6MPVBXKWrMDT
2TJx9rakcZlWdDisF07STRJV09cisRzQGCVYtwvluP09vapVf4UaDMGDT3PAsxxNgjJvslZZhUjM
20YOlbXXlRM7F65ZZv3WzEBk0F7RpZ/VEo0vrQAGtK2MFEWaNabuL4wzpEOzdpQkG/xdxK/RrvwH
B/+LK13R8BJC122fR1PPn3sRm5LVJGI+J0tp7FfUgL6pfTyhuH3HkRtrmNtn1ZBZ3UzuIL9P9AA/
wJAbn7pWLh7xuIQVWvfcdCtTJLW57bUg+hVinnBGZBoueHCzJedO9Qkzn6zbNCbmJwAgjOZzl0Ms
CuxJr65qzaHUmwyGviZ1pPuMr6jEfGeOvXZb0D+htqIc+USc9ohNbdIb+sbpRIO3R0tmijfNN+rQ
rRw1QDny3GuB2AL0t2OYH5dcs6HBIAx2g2WCdLYZXY7CAe0OWF30vd6pjWfjJEx9ah7HLQxn56Fy
JyvfS8OuPtpetHxpifCyrTmVhIl6h8vpRqSZhfPF0qhLt0+qz9EcaUREtNrdMJwNxN7MQ9El3ER8
cvpu/pYsFfTBaizKh37M9AcBxPyJHajsN6bqo9cxRbEfxOk83EFDQPbTeHmLzUI5ezceaqYJldaE
TnlpUiTbTVHji4qb0o8RYdCNhdCGMwcDi4vOknbddpxgjG/xqbUHYsXEY9XCP+NSemnPAcCu0VVJ
RzMbTliT+AzAy26CwW5rGpKXjIc/ojO6tDOHVyciYP20sEK2TImxzna+n0YPszWwiRRTESNfskSz
TSl3/DL43+kGeVvzHcrBOAZOYra36Nk4EkzgFb0A/Y3KeO6+fDAEvYFuHVlU9rDKcbbp1NE3mMQ9
8th0ctTXOKYJBAuaxv6oKdb2cOxU/ZANscbiLEGr0E2jKYogkRWXV5EpFNaHLEVPo8yS7x7mONMF
Dq/WbTUuRXLNEll+7WazrPfUCL2HImIbC7SpHr71rWPzn7Ey96rDRyC06jp69pgI+aUl6vKzj+mL
GfRRZvSB3lvaB0lneRyUmfLvi5LTK5Qluq4CAlub8yDxNFFTjk9vkE4xxEXlIMtgi4FCyWk3Nr44
KBAu7cJluU9kW/dg3CgObGcOi69Zy0kr0AUH1+0U6/60zQzc0y4WDFiIabSm2Pc5uHKgQxxlA2q3
5RSg0Sg4BblTqW8WAAh7q2DN3dSdN6VIH2FC79tYg5GP6NJ8NKyaxdlWnv2VuMUSQAAzeVtHiBKC
dux7EwpVVqWBIBK4xjpCZ7fqoqwKUuTN0adBFnq5Uc6gvo6mXz3SpReBq+Iv3Ayt4TQ3pAV9FphW
J/ZopQCVigLOkduBI2rGsFF2ZxYsw0RaqG6+pWKiMzSm4IsJaNkP83bMVN9CO/fKRxrKrEcdx3k7
8HrPfEjyGDGbAciHHmH07h6nczSWgTUP6QuGbw7wS79YXsrF53jmlR5L+mAz04MUrGwUDJHIfjn0
5TFy6ZDsojHOvzWo714l0rhqNyUpWxPjodn7qUuzmfSjxaj+b+bOY0luJOvST4Q2OACH2AIIlVow
mcnawMgkCa2l4+nnA/ufNjKYk2k9s5lNWVkJIgLh4t5zj6glHlP+POj2TzvTVX0L2xt6SDutCrdF
ayycMKJpdcIMS41yv33TH4mWTUmQYGdwILSmTi6iiqK2B0Eyg4L+AgmKpbIfqTYDNZYVJbBf4u6m
Aie2cjtwYMt2vjGr4socrPplHAvzKu51RwtKvaHhTFzb+GqIUruaumX4MsV4evpOx3Hi12Y2PLQD
/C/y0GFf7SdDZHqYS1nwIlVcV3t7aKJvlAdwtin20TdHms3nyGqir329Yz/4zPfcGzT8zqMmK+2J
OVv7FTXHys1upvGnsdy6GcLDxxnSSmQ/LhRRSUCUcBtdl1XhmQdvgsIBKp2DWiiaku9GbyUvDdPs
p8jBRRZJXhoNxzhH1uIPCLearX/qzT3UgnU40aRSXnaIG/geOVXHoZmH8lPOD02GAK55xxx5X3sx
WR5miPoQD5cYeY9hoi/VJUMJidGd0tP5yIm6zkHLIFELYqMxH2b8RcQuJbrM8lUl24ccxS3lvGWu
nCmyzCiksfBYQ2ckDdpXbUwBquV5d19Fq+cRQ8IioFDnHN5pWHEye9SI+DqMsm9uLU0zvnjDYMyI
VzWKR85lhtjuOAIvNWAoV2Opau0QOc64hqOVQCNerUqCIXSO1R0jL0rdrzBsSNQmbVjpPuRNi7jt
um7wVpxd+MxCT4Q/mzK7XVA6kxTlibXYtd6wJGFblt4pVYNnh12lJrLLimX6PDgZUI01TOIrYZeJ
Rhek1oTgNtbmBUxmER8nL8VK3pi0fD8uLLxASxVjcCMvh+aynFXHfyHpUKEV6S/z0sQSX6dqMk+y
c/gMlaklX0lg4zFVDuvxsuu9Wjtip765e3kEkfnWNPIE+LIuO6NKbHk0o5VXOyoPhxkT3450T0fY
X6e6SMrT7PXmilNeyR03ZEPj+UOTKC0gFQsmYZdiFYNxD/6VWEuYcRjz8037zGq1IrR71goUZFCE
Fx2wKtuXsFirYNEW6OZLKRs7gJvvjIHTiv4gsh6rEVT2ELC7JjLc0Cjn5YkdvMq9CTvqPqlHTKQ6
Wih7X5VR5/mdbPQ56KS9/MBa1Hyh2VCKo2JYX63BlheGsBfBtRfbL9JSznOXGd1rXFpeHkxWgoev
vszyB+hxQTlixQReg8TAenNmY/w+O4v8Vai3XzwMZ2/doYkXio/YfeLWqjGvwiGnPEzTVN8z49Cd
a7ezmqfBLKEr93rr3RVke7yAa0R56GjJQCHd9uhLewHXzG+d7d7XFrerfbMVnebLJq3IIKG7eF2j
BkgmSxhj9k2W2oQz1EqGBobozX5yY+ubicH/Y0/4TBKUTqTL69Xt62KfRUL945hKh5Q4FKBNqKvN
+Zhj/pHe9SlYYYgXW1eHptM7xjEdNi6ZzTEbDjNpBzJcoypjvsX+vTNWgx0Bf6r5WdX9OB1RPlNF
cKUWKfYeSZoEmQ659kmDGf1EIDFh7+k6LJ+abrCSYDQdqoZB0oQeJ5xBWzaRlE64EDl3VS89x7k1
Tx6nwsSEAdyvaXjdsjWogEA/r0ar0ApgE8jOYawtsUuvn6b3HcxFZONk+eDkLKL8a1JExrif2IRq
r+GSMwVLY7vPeuktcaAZjTf4Yx1PPBg9ByVBX9q3aoUye8SB06OZkEn87GmAO8hIa8QRYHpAbn3q
WN+ZNXR4AXMaFH7WkdUHY7XIvqRtklJg9pmbhGIRGawTY83dI0fz9OIiNY73upIV9bcO9OTHpYyE
XyyYFhC02DbPdVvXP6xIF49Z5Q4R5OJk5scEvgpGo2+fODGnG2NySOAhWgjRVMYB/dMs+vybocya
QqBYtPigStqenaUm8RLJeCHgaCTNIiAhb7yWrasTAJh7rb3DBhToRKtlyp/H0FLxuawoOmFZMYN2
lbUWH1OF8hdrRDN+Mc2qvfMwtu0CIIHoXuWVqfwEidGdt2SGBWxXGUciIyYPX9epvNFQCvf7DEvp
jT8cuU9ONuPf1vVm6wYk6tB96kNhuPvajvpkB3RPsGDmjMrd01VFV4nOvD+QcTz0F1nZ1C9Y/tft
LoqM5KeOb0CxrwiRTPzFK5pPFjNXfrRMav9Eg4xweOIl1PsG6C/eOXMhoLVDxr9r18x9nT1zEkHi
xuWzbmsqQv8g8qcUkxpi/oyKeRFm1KUTDKnmPE1L3nLrcz4s+8IU+SvDZkCkrExjLei6Qq5X8IDk
yooxqn8qpTCRlSkeEd+mxlqj3dA6AM2clF58V09SL071rM0/TDkihG6tJfe5aboRpzWmMpg9z5q3
r5NC3MJhmcjwEjO5BnKsc/wYW29ztAe1uO44JxDjtqM6OtZoDlcW9/MzdDhtRmUhjJM5j7iqy6az
XgszxsC6bSNwW812q+dMx8kyjHTl3mZ2Ix8USM+rDhQGnrQ42rekrzfti3RS9wBbFaNyuFnNzx5h
ixYyCohvFi4M05e9aRwZahfNhdHa7mWsRnTBZdNQpQ5Atz88b9U4n0atvNK0xiELsy9kTQO/5t/i
uSOIuIeiArqPSmeA4JtKHKK9lEp7zgi/8BUl4hTMw1C4Pn2bSwnoino4EjzqXGh20X7PJBIVzlFm
B5yac2rtSpdfaW8psskCTDG7lpI3EumlAj8zwgkN4hcyhFgsdGzQhyni2cUO6Qm3kDeJOcJjlFaP
XGaax3RMVx8UvyfAimEtBDJ9kwY1hvXDqNZ0CrOmX27wdhUTvoYmzk5GWpue3+aaeDCTcaPIWWuP
lbxKJiCPeLMOgXaeTruJcaZC/mOv2Ykpm7ydzWHqaVXNCbRjBlnc2Z0LQmAC2Rg7agfy1SZiZl0+
SjLHgT6u3qe5xM86MCKAe9+mZrQvG7tLJeoYdE6noXflzVw3+p3Y1jYlFhdu2A6NAJItTIDnmKHw
zGiokVfzUgyMjCq5arf4exjJDo5JVPlzrtjRBSpefSdIEWZ61mmRe0gSxpR7b4wijieyPOdd0xdA
414NJuPXbt1lhwiqXXNls2UpI6GK1tc5uKgW1qBva1iiJf9SuramBY2XC4xzaTbvqUe0eke5SfXl
qKl4Klr6AtyZZLQ11LaDbQU7pT70KwFBd7PRpvPOLWEeBQ5gMC4WUQMAEuFzk+whffQWAFYT20EW
d1lEEKptxf62UVJgUshHEPvWkaHHDOQV8H95Pz1P2e5hcJBm+V3dERdhbp36RG96jbLfQKUMx4jT
C/JYH5TGZBaHihFIF05eNF2OeWOPpwHK7y3YSQmilrgZ8fW6GdWB16bJD2vF5AhFUdsUe7ejr97T
edpuoCdLJwJRZ1ntD12nPrFvS20nrIFLGaP4pNg3jh7dYuZj3ei1WX8j4AAm/gJm4wQW3Gw6u2jJ
mfmiZcIRoMjICpDsucgv0L2new/mvuKMU9GDLCIPk+k2ybdTPKtN30EAu/j65OH/upqLs6eUoYvW
C23VLiiDHXGoplRPPukA2sMrbksc3o2pEtZ3Gbka+A5PzW8xbrJR6OkLID1GCKK8JBaU6Sd8HTen
1y1QiDWKtmzfzH136Q7J9MydORgMBFru2yq19X7PNL/Ijibq1Vu4+eN4Q5sQtQ96ntAO1ZxbiDDx
ln+BEgCKvDIGG+mNC1coHFbyNAkLbmlrnzJzcHdrPZp7yv1FIDMvSsNvKm14gLWU/tPXKSrktQCu
xc2/Jw41T6lWR+mVj+XgeddQXlR8jYyjabZyNtH2PVOBZF8S2pMHRLN6o6+Wlt7dlOuYhwTJNRD3
M6+IOIyQ4PuimKblaCZlZO/JCC+/aA4RFGE9GhpD9HWyv3TNNBZMDlJ9CCajxshFz8qhO/Hk4os3
afrl1PbMZ5tcz356qs5flhRend+sxfjqSXin3+liIGPtk41y+qXmtMIJcDYAkElNHsqy2BXwoPvn
FS8WMmqKBe67l6EavAAbq0eyBkYGiJFTFT29DIwCQjAaTgizYJpICnHqTj9btIocbn0H8GrmVRx9
YhSRDPRUc/d1xlu8ISLZId/QyCLbOswJcxmfXtPVgtaLVnySIRUckcfHAiTZS92d3kFe2qH4sx4J
9qb+BXUaT4vnVL0v9az4vGJCXoXw4er+0mXgb+68VZDQ3XJBrI8qFeZysBKXbR9FBG+E2P3rCsze
bpKLumMWGQ4UQQnYrZ0UYacRubvPCzJZTs0svTucaZpy52ikLJEPlGSRPILLkAMcGDEl1lePzJv1
cxOLtDvVdtKg2KSp50W1jtHQvkdueZu22Vj6usPe2GBqLBt8r4tAXKe1BAnr+so02LdjPUANs7lW
ZFVr616keMNvEJM9X8zzuMCyKHMPaQ2XGXMia8CXN7dpGnCX65OALJK6NpgRruOJv1TMk91icQjW
kYAivDjyYKhbEqvejmlSiS54XRCfCxEPdDQ1Q/OAKQ4C+Kax++8D19SjtsKN9ivNVFMgkoVInEJZ
8mRF8+DstKHFQ9CqoqUMBVhvB5CrGzj092JQfp4D5GNbszBDlVXnzpcaYY91MHtDsx7EmOJrLBhy
X69qMHwnQ8yxh4NvJwFxaa13MLJSNwJCLWKD87FQOM1lGfD7CN/74GBNwx9uIQp9auI8zY74CiAq
H0VL6k8Qsy6XU5sX9mvt1N6raId59dH4GmR0T45W29f0DhhfD3AXWoSuulM+IUYekrs4X4rmp1tZ
3SHv56y8mfEiKk8TeGkBLMhMYDdYTnILxNQPO3AUUu+EBl6HySWoffUZwc1cA5KvvXMaYFouD1tW
QX4qxDRYB25z3cbmEvrAbhEuoP8wkv4RWCnuyFciNinlV/At/WAyUUxuly61vF1iOW3zYnApVncm
kTOIWBeoHwHQBSigmdrtv3lh/8Mg/oMd+x9a8jmD+f/IS/6Dy/wuz/n/QwYz+r7fiFUbQ/oPBnPQ
1V+H9OvvDOZf/8e/GczC+5eFfJtjEO0I9h2beP3fDGZh/gsp0sZ7NNGCWUjl/8Ngtux/SfwAbTzT
4D3zt5Ds/jeD2fgXkjmB2B3Kn478x/h/YTDDgkYE4To2plawb92NePcb0VMnXB2TJbrrpKmwU+uZ
ucZGP4W/vY//WRm/86R/Odj9zvTcHoNlkckrsLGCPjdYKGbDxIrHigOH8cGDbfT659bWNR2dTts9
ADiMTwaK/MtRUlf61VBNoN26p3V+5i5AQClA93PSo7wBwJuADxHTM2izjULjoLDLT9QbRXmZg870
/kbapeSdYLRgE0JFVo9LVu9MgxGlb5lC+1JGQjzORUrmRp4v40HNDo6L4NHeY1rbzmbeJfUwKqrs
ss2JAQ2sPndvEYaQ8fr+mzknGG4s9I1xjR8npirC2Ii4v71/HF0qidEtmv5oDbrKu3FW99GqnmLJ
evsPqf6Nn2BjZZ79An886IwBuybQRuaeB5FG/6ya+qal+wFjYSppUrp5jCSXCxh/H3y/M+Im3wsd
NraGqA+FgWPdGZ8xpgqazEon9UIhEJuwrN/hUVIjvnSivTURwGFIJlXvf9e/8ki2p+KAsqUiUrp7
1hlFtUWlFnnzEkFhGz2GnVO6ywHIAqwW4Nfg4Fb5vWMjo82NNUzaoT4sympCWjz3A0Gtde7aA8cc
a1+4nAgccas/Z5D2ZSWxKlw0f7C5LUN85+W1BIpkRmEuremTTo/zg8LN+caN43kJrb4or2H3yPQY
T4VX4tI96ldkHjDQoGtTz2k9Rw9Wm4/32lh76qLphIDPATge+RYZSOpgZaNq9m1n47earcq87vnn
19Jo0ksniey7RTOn2S/NzB580Try23ba6Hu9FHScZmfZTPrBrx4aSGCo+oQsSWEiUGyPbr/H9GFi
9L5jFJP9g5pWbz84LM4osMQ30G9JvFjIOyIt8txOmys1Xms1QuTAnoR6xG4/M3RV35oFMOmDhfLX
8uRZzhbFhdnZJiTZRJa/bT+QbrB69MH+aAtC/7zBtUHKx+HK1Jr0LhsonBeHqgH8Ugd60podfujd
Pald67GDvwpoPmvjFTqD+kLpXbZjFsP4Pbfw4Hr/o54dFL/eCipzoEKWEUj19u9/+6SuQ2ClquGt
qEqbD2Xm5RPcVy0NOTCbBwrOuf6A+/xLv/XbkbE9EgcFslw2RwMh3DNu8Jh0OFsoEIaWPUZn57g/
IqOspn9U08UVI1FtAVrWkwLiFVnUfmKVSsCr6cXLsKWMwk2I1Kld07z0Z/KkpD/LcnpKcUzCUzud
euPw/js6Uy38+sB4RnmYo6HsEfa2F397R6uahiyy+DXZHA+tCRpI81Sx2d9/zBuLRm4GZ/ClgVOw
m/jzMWoisrpYccRbLWILh3EZdp4yHlsNVnphILZrmmX44Pj+K0SBH4M9gRWW42wxqvLs95c4VmjG
WCL/AW3B0B4SdnaQXrs5tddj88VqFKO6uafd9h1rgcvdK33gTrHN7NP73/+N1yzRpupbCYLdm372
UcCAV4qKGhYquaHBMjLdT9I13b//lL+sNLZvvFlFMmQyTJ0l9udrLmWBm6xscAhcJ/1U2Hm9Y25H
d5OYkZP7aWxZ/0zgS6fIaKzMz12K2ykvk1f8C9Kbmg6TpBPM2BlwJ8YHCX5vvgIqN5zfNpnZuReb
qsfchKXKSqNTDSUj6xMlTvzfPwWOnYGThqA+5DL78w00cafV9CYaPFYx3Dn1XPpGY5jP77/ocwkA
73nzEmTXkMOJP9TZNgd0scW68J4FWMJes/v8gDFjeYxac71ZYIYcTaQswcro5/T+k89qkm2/Unfq
MC50JB2c9X9+PyNdJpkNLCQr60nJTOskh+UKeH6fWcoLiYesr4l51F4cNcMXmJv4IyPdc+HZr49g
mQb+YohncBQ8W2R93Oqj5W6XzZyaARG/tPMZHq5pbmcPGuDHkQFTfOghRJ4sp+kuMbQfjzmzvnCF
DnohipmbNVZRMGBF+pFNxLaTzk5gdhivycSTw4GS8ecLGsEFxyp1GS05nbjNwWLvY0wsN5Oodbpy
C9F8JMl6azFwD24HG0XUX9fMUkGsrkyBjaUrAaxxY7q0YF5+q0gpCzCaAGBk1HZNYIp6eX8xvHGq
kthJpYHKftPXny0GL0bmImuGBeaI5qXoTBZkM0+hF1tdikuojdEx2ZwfnGVvPJUFiLqHsR+nqnO2
+KFHdlOxkDPb6mXq63Mbf5mnErYA0yg4K5J8HLTwYC6H97/tXwp0flR80RDX2ZSpWwf450/b4Ug/
jzaQUKpWyw0zVCPD0bar9iKu6kgSDKM32g5TJ3HRjJk5XZjlqP1Ug9I0fy5xPj8yytR/pvioxscy
j10RxHmJGmHEFwpTJ0+t39LSRAvjMT5hFhiDGuN+YbUF3rrROu9F4bqfGO9CZu8Xip4jRFKpTiga
4Kou5dpXQW/aXX3Z56qXe1Vv3OqYijNspWs/Ge5ijviFGCTpJlAPDyLa2GZjldmjP6AXVdsMLcG0
e8m9DiwTzGI3lnP/gdPPXyb/25uE6m277OPNQv3sOjI9rRilvm7EX2O4jOJ5hkVVTCaVbJ1gusho
NCtzaJpTMV9p0qovPbXoN54HaqhQdJxcNTanLDG9m3bQjVtm2DSYH/zcf2/kLTMDkzoMmBjQn53k
ypBxX01YlRt6ZX/HZmZm/NlOH3jqvHGeogLkptB5HUijzwoTC+ag4ten8EpAlSe80UlvhljaQqfS
09CNanVFhohph9CrCJ7LHf2DgvqNe9F18BdEs7oJ2c7tr4Y5H1OlsC6wmdC+MBHog8wz4g9Uj29V
prRSaHAhrHFWybMvSgNX6vTNwAkN/Azo7DUztJFYzcgq9wriaILrYOOdarDFgzS6dO+2S3pn9Kt3
atJ8I9WrrvpMOhgm3josU08kzG9U9qEjzN/nKZvcAvQAp+F40bcX9ltJqjw9ZwTL5VridhQMBD/t
sHnLnpt6jm+gkwmsJrJnOJv2B3frX85HqFyogbfCnSdjnnB2suHu43l10ms+xvvyiOBEwo706pOu
Ynlkghr7TjpBcNOILyRuh2m4ns03HeO0UFZJ+1HGwd8rg4+Dzw+32Fae//q4v78IoRjXlSifCC7v
wrLGF65U+Cq+v8/+shnfvjXi/u1wxZWC4/XP9530RjM784zAKjFgUqOLC9tOIfkV7WQcGK6sdzMN
/xdcw/Ge6jI4qnFTksaS6rW1L0im2mE1APm7z2SJZBd6qeGszqFqU8sfS8v9YMv+3ezyeX+1nvgG
wXs7u/XmPC1RuwEPzHP9zSI9p/ELXRuCVMJ4/+Dl/H3XMdw39K2ZM3CqPvd2gWtQa0LxblbC8m7H
tYNakxXmU6t0+ymttxgmqexvH/wi2xv/s4ZherwdBihNXahJ5xUWk0y3W5hyV17y5OAes0dNxels
5HrFZCAnKZORqAg0WiqICVDjGAa4cCnzJcVXX9rNB1rit145HTRgJ/ACu+Ps5q3MesHmkvJiqUls
j9sFEEprZqhRc7pEH3UxbxwAFtiPZaAsQ1Bvn21DM7HBBTxeusFE5GGcF9Q4JuI/qg1PT7z8WBua
SbQ1bfh8jNMIfkFZ4rsTJAXar4DZyFKEzPuYX9hrsrx4RUwmNtkGQ3brMSVM90SCIStUKIHE8f3f
7s3Pzkqh0SFUna/x52YqtZhQxJHP7kxivid8OzvW7kaBJdDvUHdWcW1EqM1isLiPjNv/vso4K4A5
fkHmvLizR2di7UAlPIAZF/kdsqFp/TwwvMwCXZtS7X7wiv6qy2Ipf+jmvH5aJpF14ftf/40OlA+B
aQAeBfRH3DV/fn80TtECiYcPYVXpJ1yrJGhL7PjdIp/cvuuP0+rSKugon5gwTi8NDtW9nwuVPbWw
y4NMehRnEYOlD2qeN96ORBsJRMaEB5/Js0WVqkYv7DiOgz4W65cR+S3D/toQ1ymskvUwN14X75a0
nU6Rp8z01NBcNE/vv503DnR+1w25xsbrb2t9pUW91zspouLIwrdBzFW4qPijfuSNzWpvHiu4NUkK
i/Mzq3KVGtya02N2vLjxJc5hAWWmU/oM5JYPqpc3H0ZLuLl7eETUnlWSVWl7Az5JmCjVU+2nXeZ+
HaryZUai/vm/fnkAnLw1gsO4o72zHzB38lSKeNtZZDmfEox/d7lepB+Az38Fk3Eb2gZGIgLYENn4
eXeD+pYZJGNpKnEbajUeMp8TNE3mKU3r/h8bOo5xcrCuCVUhis3EOGvg5sffjRl2nz8NxVd3FOBp
uGv8hJnWMvK10zHgDzNjf6oNJCCKDOvH//7lgHfgw80nxiXy7MYAVZSuMlE5b9pyaNsejCa9sT44
3LYf8+xeAiVEnmTAzAUBOKvMirIF9oh5ioapV9BvaTGp0Ysns06cK+rY/oObwNiu8vMHAprxMzAC
w0D/7KqHEqNB3zBQdiegp83Sas+GkbShufbjIUb046dltFwxD8yDuMCSYYBKmaHDMI2wgT1yGmfc
l2XulkfYZSiV3c6AHhlbp1ozryxvqPqrbOi7D4rtN/a5bSH6Y/3oukej9echaKw1pA4n0tD952RE
QQQ7akr/b01Ut5XKlJQ7hmkRhPKtdvmtPEyQOY+yoLfFpFVedKvE8UB0w+79lfXWBpeC6QJ3P/v7
/EJbmfpbc0S11deRF3aLTUBZ45lb2Fop0v+L08SlBmV9MeGzz0d7yyr1sisU8lxE5FeIZiF79GBJ
Vh17p/e/11u/EVvcwQQNpOgvL0hiW3FXbFlaq3SRo4uuPxVDad2//5Q36kcc+iChbV4h23Dmz98o
xwWom0jp8tEgDgGlfreHYJkEVf+wQKdBpvPfRsUKyWyG7eKiyzTo9M5WhSTxp8F9lYBxGlo/t5bm
Vg7a8sEK/3tVYHSIuwxmwb+a1rPzRgj0EKrnJptGvcClwYkSv1yFsxNOEh/ef4d//1I8i8kkpz7n
AK3Qn+9wzIgi1tB/YXVg6ni6QG+Lkcp9cLa90QaB4JksCHtb7Ma5VyVODSqtUSAF0dRrr11hLz6x
AvHFarfzccys1O+zooP2Fmc3c5m0lzIjLRO4GXP7GKpVntkYUnfjaz6jLF2g015jzZB97nVowh+0
JW+8fiymGMrbjJvAYM9KvWKqzRQGHJtySADUtZrJijPMHuPYyPjy/uv/ewmDFhgGhrPsfh529voR
d4GJ4NgVoKwiz6li0gdZtgwqs1u2q6+LH1N3HuQHX/GNSvLP5559R8Ro41LXLGSNlO2d7MyvWQNN
k4+C6Mgt5aeCmeghg2d2ctRg33pT/hXeFgYgChP7/TRA9kaSXn99/3Vwz7He/ryU+GDbaIkOBerD
eZ5QaStGyt6Kr4ietM09IiFNe9IhABYXJE/K7HGtJgNlRByLn27Pfgy6NII/7HRD1tzLZqrI0e40
/aaym0LuMxzx6A+ghj8y5rOtIz984RzSODY+Z7JTxLI5S8e0eiL4msrYkzsPX1MV1Poq4GwxAsA/
qokyBEtunlBC916XX0wkLMuQcZbR+nif4ocvV4zXwmHJTZoDzAl+9LKWD6NHXxWsEN/uAakyw6/i
rnqdapH2l3CmmpRKpkEdHy3mIiFOu0oG7czyviqQUxJpN2+D26E28GKBEaKeYdYVyc7rhEOQS7SS
IWXrRnMJdtgqHB9cckvzNZ9fF6NlJ7sQTWA4wqe/gtwy2KFZDIqaCTP0e1gq8w+cSOCV9LhXqCvY
/GO/i7s8cnw1RUjf9REyua/XvXqWFAsPkRghSi+O2R7MZGPulWttNcEAP16FM4za+1lAk98lKDzM
oJ+o+YU7O5iVNjTTyCCm1QzxNjK/OG1lfe+xZjLCRU7WRRxNKIDRwU+HCs5quAgdvSkYYUfp0aMB
9GGur6+tOTbPNuZyadaZAcS/yMC1f6EVNKhY/W42ey8QpemUe1llyL6MDDUOxIJuo6eKyH0gogcs
tVuSZj6kbmJNiMySxDwkXVo8lMQ0vfQQNV4WVd6b7ZidutTuxM6Nyu5H2xviNZ/a+jnytPWO8O46
J7ZjkN/decH4N8+drL1pmCiUYWUQtRNY2lT3qINpHeFP2yUDcmQen8Q0OgN6nl58roou5t6vHNaO
kzXeEtR4BIjrIZ3zy8ieJEwf1cHc7wSBIMccFdy9LSLtq97ZCq6GcLXnIVXua4YCggQQGLuPZrVN
vdXSk66lR7NlB1Y+O/+oynW6EHrleufY1SEqNexf5sFeq52epuVL2xYpzgcIaafAceNB+Kz0GIdt
aSO6ngvD8IspFlezbdfogRZ9uJlUWnzLs3K+KWDFfsvx08lOziyyU0uSib9Wi836FKJ/hOuNYLDt
0lT64LGKA91cxCW5C52zk/YILbEx6ybZ22LR7V3i6Vm2s2GCQJOOIm3xlTcmFfJBeNnh3DbRV2tZ
cSWREFdVEK8RYxrWX4mEt0kOiOxybDCcVT7KScNQYa2cDjQVgUwcWojOikM2ZtP3qs9gjLS9IC+l
QawU1KICBgHoaj4jra7qsGj7CZ0ag8pvo5NrJGpVaYcDBWL/NehLAtgOC5OgzfKK2M3dgoV0eZnq
LR5WLZLI8ogsM9/2oTKf8w4ONhpbZV6qiMn6RhabfubCqT6JkX7THw05owcc+vkCR2/HCVcDcxEf
qX76A6uRGf2GrkUvdhXXVxWJTTNUqcj7B2PJ6cXC6ZojYgXw9kG3sGsAWyPnKaXdkwFuYOUtbM3a
CjRgyE+6aa4v4wZTjJ0t8HK0KmT9UFiLJEyGdfist7NZ0RfI/nYVUpENs0rjizMl0V3KqT0GSZ+O
DwAC670Hd5ukGGgieH+0q6kOUBS4sSNTWdNF61qoU1PVCWjzovJuK4R6r0MvsPWcs3XeQdglgiRO
tfl+RdLxrZ2K/laf8cb3G2vSv83tpm5Gno2UOtNbPQMIbZoAPUH+c+yk/qwy3Ugoxfr4HjZXmrGh
ZY9m0JvR1duNi2FHXa+2FRrMZR5m1wRWFMuEYAxrFOdiadahC63WIuoFTyQ7lNbUzpeRNpZLqGdp
8Sk259Y9gHJZn4QxcOrZbZ496G6bfKNlA0SPIsv9Cpcpf8ZEYXi0jGlZj7pjGkSzOECbPoyq4VlP
qujX8VNyqnNQdI4Nkz9O9JX1YWrRz3qR6pnIEjN/tM21eOHw9twrnZBwG4uwpn4d7ChPjs6obcp7
9LHYqdjFk1u0a4mSHKbhnR2nqOYUDDfjVkxV1e81Y9ahcetmiSc57lEqyBamID5skhJhd9Rdtazl
qzlesPAh9Blb705YhBWt1VjpJ63MCqgxkU1SSgqR/yt4cIVQPJvjy6jDd+piRFXKTaTZdph5qbgZ
io67apDwp4+GwsOPxyKW6EeoYvg0eXDCvLa2IImDTWIkVnF0hljEO9ejlqe2P7T6wnRVU2gRvdLA
dAUhavZYout6YA4aYYVgk9C4T9xB1DunM5On2V074xDB3kH50vvowJKLeGavKa1jnsmRRuj9iPmT
wdic2N4QTvKkjjFi05vexo4jiJEUfWsTpxz4d0Z7Kxo+/k6MSXKUQwKk5rJiYt9a4GCjkOzW+aBD
43/IyRBN9xwDKRWEUxHyWrbmVOD86ESvMQfs55XG/bulObl+rD3dZuxoz8bdYBt1FljWWBs7rqXW
xrHLlWlQeQWkun6QGjSWVa7uoZwt98Vwtm+j2VwcvhLKuVuEYBa76FHBP67ahGC5yNGvOpwOtLDR
tfo2Vpa3eVnIQT8YCoXAcRST9zJtLoanrO2Wa9xWEZoR4FF7N0UlyrA0htILy1+EoV5W1i2ybyUZ
YjZw89C8aWjycGOwIcWvI0Hf4n+xd147kiNZtv2Xeb4sUItXd9JVaJUhXoiU1MIojKR9/V2Mnhlk
RCQyUO+DRgONzsqiO500O3bO3ms7PsSWYBDxTtgajl0PlJ5BaLNfjudx5gU/8GVPz3QxIWICVvXu
Al/lclN2eUnCjBDVV+rA0kTpAP1qI6Wtyw0wIusrCCX2ypQ6D798NevZxvVmsFwA9Vhq4zEw2xDz
hnnp9mNwBYxquG1Bz1y6SiRXaWp4y6nueV2xi5LKV1nGfNvVXQCiQ+Y22XcSHeM2X4CjUPD57aYl
gzHHKDixSehGhj+xFfNCiqsj+5sENtpzgaGCVUothY2lw/Uuyz4lAs4eJ6bZqR4CXA9+4eHWvo4m
M01drQQmWxNw6w02zXij1wnArYwiaWdZi3FwCGQdIsxTiFvwApg7j9m0uHV7fc5DZzBlcsv7kZJ0
DOcJfJbDSrQpEs1/npYiLSFi5nV5Vto2qBM/G5f8jISzDp0K1OIu7NMyL46Fo9sXI4G1xrb1xOjg
F6FltoGomHQXDsm2gv2tKmCoOdASQjGKetib2jL6e8+ss/Y0+2Ck6QPmXbLTsFnnEBU6G9HTiJEB
zt78AKkiv8MrBiikY56AI6vXbAeLVd094NwqqIGUI3FGG0XFMgTKq4hmJy+WcJRB8YgiihCpOGj0
L/iXknunmSvzZJKzcGpmz1ChU7TVDk/pSt7iUbnuvCLtUJ36+SEwrCk/+XKcLmraZIypZqQEGxQb
Yx1OSmYAWGevxHfu9t4qQRMBiplMzQfsIZRoVjDzXC+O5p0Xs25gjyn7yjsvcYywBtpqpF5JNdhj
09QHt0blTVh4qYt/SDkk3k4BoCnxteCGPZijg465bvz0l/TymM9GdXJR1ot+6cSmWi+OkCFMJ9/8
znY5f+Flcma8RUt5A4TOoTfSVtetARjo2Jpx96y3QX2FNrvAWqVPYt9MskC3YFbMJ/vWkCtVenCj
bgS6ETIP6M9ZSwa5hQiwVOedGrUkUnpsdDDqZlhJLhy00J6oAjZYs021K3sAp7sOXCz5FGjSHN6w
sWBJgiY/hjncujFq4UdtO7pwrrMpxpJl355S9QWtvLh0UK5bh1QtGOgBOBXVDUzRoo18vYxlmBhS
iE1s4ObExm/Zy8GxFv7+/0tUV5CHjpoHogkDX6pCmEKD1MSWiUtvftLh/MPImZYG2berowBZy/sk
pKIknUPC5tkWi9OiQh5+jKnN2W5JEUr5BnRCrKM0nCf9W9+N3SnVZX8q2zn+6bpz+u+7OsTM657N
0HGVhL7rVi0ou+qu6hKGmma6b7Wi/+kVdUwmmJ2kn5zvP/aSOUX7JE4xCAGz8l7e4ViYQ4H78cU5
im1SGfTh1Of9r1rD2sTY2/zk3P4H2Rqwy1UThlBqlei+a4wRKQo3w6aNZLuMiTnp1WyUmgI/gH3r
R5xW073r1CyBRiUeCg2UsFgCOxodgAeCyIiKImNFZ5XaPO8L3Mv2J3fkT40WFx077VzkKCRKvu1z
IdHUG6AcyJUTPuUsUw6kGPrbrZK+do2bS8fe2yyfPIHrb/qum0FXAR2XHnBZ5upvr+ol7I68UVzV
asYzDbKwvymGnJD2JlC73sM5nfnWqLaimT/L5/14bR7+VaeKjwyQ/vs8HjMJ4sKvuXan8uXUFJN/
6GXVP/dm/ZUyOL6eK5oDvQZn4u9NnI+3GrQ5+g4mZAy1mQu+/dJzpgVWM2HGxeU/njjvVCcLT2uk
aHqCOl/KJ4bh+Sd3+uMTj/QVBQ6jWYSpANzfXhRSBeAl9aoBzq0TJhZOBoriB+5Des4flPu/f8k/
PPEsLAErC1ExvkWX5d0F9WycRYsUsteaZtcMRKUkdlxu1UyNyZ7mxkYIzY2d0uf8bXMgEZxpkHKm
t4Eu6p1CpHsy5hFtEr65dDuZNlXx3z/kH24K2yArIOITuv7vNX1TLv02NSGBGBIf8VTQINeb8zS3
drowfvz9Wuuv+vZRR35trw/6qiOE6fj2fkwahuO59pBAyaY5Dxqv0w65rQVuZKWr/3wI7ORxVCu6
A0t+AOXJ98lY//uH+Gi0oX2D/4MBpoHuHqfN20+Bts5xk1VSAhR8qE6QSTCcd2lm31VGN91qQhgv
cwyULazZduxwsUwKK7wV/g9N04Pmkx/gD31Wn5gXRgU+to5VXPn282SWr7WvlgWZd+ANSgWreC0w
sNj6N1UKS9ao0nYPiczf5EItIaZdsRNjLA9dnstnSf8vGts+Dv9+oz4+GevnYuSECApHy3uNdWfO
gbUMPBl5WZUhPk8dJ9yCFyrxtUOpxGd6w4+LEZJW5gxrLuGqtnr3uwya1AUPIrNy0J6PC+OpTTYM
PVylYD0SJAvVdV7QXrTAKf3bRDdOIih9cAbwRKyjw3c/AgDi3GrjBWkrEKl9J9ppO3BE++TZ+8Mt
5cnjJcAUg1Xyg7IOGLQyVqlhaiv7vkBCfd0BZtgBCu+PfumCBv77b/hxTsGOwgCMFwWFMpvu22er
oC+haQ5b2ii65Moh/DWs85WQMCAy+9eX8pix4fBcPWyEsby9lKzMzhhsnDcIa1WoiD6IZtQyGyXi
+bOF9eNCwhV4WKhvX0Op16/92+Q18fCayRR+zwy46wzaR/uIkadsmSXW/gWAkXmCFjf151Wg6YdJ
mb9MmTUhokqIsQMNY6D9zcnuEFWKUVMRLZp45442LnFatNOpRPf6yWf+wy/hoXshcZONFnPEu9JO
BrC9k4S3iWZV/pOJkTwzmsnYkWSrjn//JT6uKAyj+a0DNIW8wlSSb2+PxB9XkNe9WuU1vbrqyLLz
yUUW8w+IWfAEfFeWzyC7cvLeZzthimRmqfwqyEobok51otr6FSqwEIyDMm9a4lqCw98/46sg4s1e
gEyCKJWA8zt+kQ/JPXBE+rjUVbpVjAOXxwQSpbGdsG/ADqVdPYO0kku5d406nfbDbJISiICoRyIM
5z+cPQfKGyKIjlEFS/xOtKLB5deKcaKcbBCPM/nRLpNyMLsdMQjDtBF2nJkbENdo52aCNKdT5Vjd
xVhlfRENZTJDPoQ7ctTGWGfmoBXzctnP5mh+8qK8bnPvvjrmoHXmzR0gH/7dWhPHKwKpiam6KOv2
kya0OSx1v3ih92A1ofLHKo9oGHpFWCwQaXbsqROcWOyMFxh75oVk4EaTGxJ1vLt+9HLrpWS+cAel
fvnueTndwjywVbN1B376DdXX+JJXjUmLQdoLGbdzBnuz17P034pgaFiyjq5B8fzHe19OiiQG5W4D
htZ0DnpB53jbtlumT7SQH8sqNAOcjyxC3HyqyNVn/vvbz53yMyMeEIKOcNDzagzmfV8vPaCTCpxB
piDBPCwdjIdtltXVoYPlPW6zsYVJ2jLRhOvnBFqYzANObDodsRlJf87VJ0qmdb96+zNjekMgy5zS
XHMJ3+1nLr1tY2aMt2VyM+8TYkpISBf6J1vKn64SsAz6uLrWN+ndw0RPxMl5WWkipV5CExzBACCV
nGCFv7+wH5ZcRPrmmlDNCuatB5a3Nx02rG9ChoPW2rZp6GSusSHocI6WaqibfZ7M7pnsDAsR8mz3
p87JCmf390/woT7gE3A/sWQjftI/iHomHY6jUHwCmLeQZ2y92Xg4zc6ZziaSFt4wR7ZmANRgLnj9
90t/2Le5NDE+xC4y9lhn8G+//MyofYRdyjx1EmoLnhf8o2jiWxYd44bcw+qT49EfftT1FErKI6Qt
jufvbnbMW46clmbLAObmOJf2jwWP/Se/6KuS7u0Dupq2OQmt3sy1In/7rUASg0BcJJHjbuU8Fn6H
uzwN1s5+R9UAaKqHZRv2WorbhsFvLSOFdXRpUYJN9JYQYDSWvGqyfvyu2UY5bGwGiGcrj3Q8MFko
H1GTzN9iLYXS3TY9XfXenNQt+jXzsvS8wduZU+aNm1nBE4To5XsvpJUGWjRCtbJDxTsFbs7Qphin
U1/RbXNIebtqlhbGQokgkhl/rWl3GRrA+CewMyEPuGaACwLGtIKIOWyMixeVcBkWGqKAkCiWQUU0
nis7DIoksXds9DNJJOxUj7DD3CTs2ta84UwyNfcN7Z/lbDYLhcqcVBIRIbueOab0c2ls6naAx1rI
pH9SyLEM2NCtM4d5mmIwzVz69nCQVUBFoazmStNibwjl0jOp6nlZbhKEVhbg0KH9HmB/iQ8pYQzz
c8uo+eh4Kz2XY6Dq/rNa/B/v5L9ej/P/C5f4wDu5bsqv9Y83uJP1/P8f3Ilp/7MeSwlZZNdCfmTy
vv037oQ/ec3OQw63mj7XLe1/Ahvtf1b3g0G7DoU8YmRWzP/BnQT/6NR6lN2rg8DnH/o3uJP3Nmqd
jd30Vz3+KpVbI73evqe6p0hZShALaKpVKgKCrg+7HPQwuOwEgNam8nrqoLZwg2sliJqwCkbneyqX
7rM1410Vu34USktwdsD/CQN/X7pIW0yip7YhMKdbooQZVjR23S0hNOa/O7l8uNLaQfqtxAfxpbV1
YuoMvIDfCl2CVTFpjOQdHMS/r+7vtrbXS6GVJw6TbZTcwPVL/3ap0jMWxpSGToa3G+wVHPftbIDW
CLKpjOoUPPEswdJSZwdnmh/Ez3+//J/u6e+Xf7eDK3vsc/qm+jb10uzKsgQTtmSUtx472ic39d0+
9p9vagOqwJtNptB7fxVQ2S4GAIt3TCv888azmPu4fqGZYU3aOcrungHRJ9v2+kP9tsu8XtOjs8GL
gFTL9N99PUdThe2kfD1CgOhuUe0SmcD2su3ZEuBT6Ex3sOIf/n5TXzuI7y+LNRr3mkn2Hhbdtz8q
rfSFXO7MWKmEzaNvjOM5ATYqj3o5ufGusebYIkoI3nxINEQQ2gHHkWOHkgZWhNIr9+AkcBQYrrid
QJFU05ZxmtonOkQCfLxouwLjNzTLRl57edl6nzyUf3oqON+iDLNXz+37ZmVZ1I1cq6GtZxPytGmK
uDhQehPmZFlj88kjSFfy46+0onxoP3O3YE6/+5Xw8wZzTWdmC5ANg2H/ChGuVp5ww0HS31ivmGH5
ihyeVvowOG368kNLcwGoMdN/lIhNPG3bV3CxkQ7tuaHZrhdObPRrfsMr5hjxfB2KV/xxvpKQl7Qz
IDX6kliEGTnbg8pswE4Yq9HE5c5QQztNGGAe4rgVv0xwipjtDb++rtMKDKxj1BIms7fymZe1j8YJ
kOYQkpoYhDPcRNmG+pjV2XXXePZ0aIUP8hkSKuAUrS7US93Mq6SREaNz0b3Cor0h0e46BGffRtKv
211s1cj4+oKQla0lpinEg8cgGzOi/91IdIDU9iucuveFf2vMvtyvQFoBenmFWPPfYQzdV7i1aU4a
TMTRKJ4GHfr1+ArCDlYmtoMHzbuYVlI2WiCg2cAaAGhXpfIewMiB1Xay0rzyul48c5vgwfoTBO61
wb7sxlcwd/UK6Qal4fwksgV092TIGIx3Wfbf3ZXtnVWj+0T7ZjaIAM/dU7tSwHsT1g5kPNjgTlGr
S8yFyU9jMZHLIbt6bd4UL4XlNz4KNIXyoyeV7gaRv5nih2wdKHBB3GCrcJe7vKsbdE+q0e8QZCYJ
krhG3q1U/FvlUQ+iDTMXsj4IH7E3vVmqA2B3dEFmWY3jZtJ9BR3Z72Gf1x2F/UYLvAR/m5QekUdz
nO+JS8l+DbkNH5WucXGOL48gs6ksAhmqRffkFY5l8yTybIJ2zyJ1y07plZHL8Jwys6FPoL7McaLL
vavNtntK68a2T/AcKf02IAplvqdznT/UBO0RYpjY/YgTdWLY39CrfuhN2GdE+wR2e1hNWPABx8pt
dp7sCXqxyf0dOBPlDjzguhFpsLby+8y8nMgCRhli9Amwo85xrairxEwFqNfmtmeDEQj6OXlsjdiC
0VARcPjdAisxR6rLYft3qU56MWPK4aUFXS12mqYxixrgXy+HpVeoQnLby4NNPnjDg8UGtmxp3cKG
UIMc4HWTr+5FFDj913KdNZ0Lm9iFqS1qe8NRcSq3EovHZVKlQB9xd0w1YXeJO11Q+HYuQsXWnPa2
pDG/86sWiagAie9vBn+hyUGrgYj5M2dynPyhgUyKPkeTox3WSC2C/VLM/nIRA8PQLswOrP/j7FuB
xFAsHLFr62Gef8K8zudjMqFkQ5/mEdyxJUFvLr+tQVL2NpjK/rKx62r8AlAhlQQKE4l2pXeTQwAT
L8qZnSwpkIcYHMNNKzTr0dGHNQvSXZpur+nQqecKdDydZR5WYNZ5hyMLp143XPIIBI96u7Tu0cYe
RoqT1naE0YHqVsc+TddeIVLjW+XGeBotLwXPaZipveHosjY62kC/kGbPoDotGNmQXrX0qLkE0gcC
MfGmRtLQWUG2UwLW+9HRrPTaa5Ppm+GMSj6BhsaXsGHGG4sXko06NWybaSxq/SI1pTDJOjA6pzqL
rVh4h8bNXOkhRCbBqtm0nTDB3Oo15oerqiACkZQ7vUdzEHVJxuHuGGsVmc9Zkrn34AZQv0IFJpSu
J4EXIXnqmtOFORZVtZ/slocQcaHWhLAZiKqaiKu7F/Sw00OVG3QIaVDJYTvyL7M2NniExwV+QQzT
rvWbrTaMrruT1pjsyborqgu7bwvz0C9D39yha6ga3qPaJf3RlfewjoNzDU/BBa14xfGvMJATQylP
zppunHdp4aahi8ZtO+s991XJ9qFvrPjORjxE8KeQDuINwx2Rc1T11xi+/W6ehLFZpnq57dO2f0gB
1Z/LYBlCd/LlF0hcpIYlCaRvD0mECdBy0uaLMhXzZZ6XXxuGciUzZreL6qlVYT+AsB36Mov6NJA7
20QrqcUws9NB8xA6EbFw3xM2pW+c0dDPlqSPROEXkc50mgSh5yTnIGnDiyXaJR2cQ1ON2U7D2/4E
6xXDi5fcdHIAlpZBm66CIL6gkxJHUEx2DkYr9NO6e6Z1Pmok3P4Q32RxckcahmpRd/FCAjTZPwT2
MI1BAokYNg+qIrJsWNpev18CInc2tnR4Nvyk5Bwp+11WlOlu0NtD7IlHAcGfpYi0w6991fvkHJXV
gZjV8Vh0MZTd2ZwP5HnIPadlPsPs+PsgQQ/CYVwtUWvP3+ugeSyKuCQ6I40Wi2whaZJbRhKwJDbJ
mfOLfK4RdXpWf1b0LbaR3Ihf7Mk29tjo6dSOvhd/o5w51ugaD0VtfvcnNFZbrTJeREH445qdTj2a
F/uxImMWzvGkE2CJsnqe3Me4V+29xaq3pb70b7RFWVGFknpDluWvPG1d8lvTs74X32cPUaEUqGhq
5xgkTb7XzPyRVs/1FNCWKzGScIjnXqEEgXNawBlV3QKBL9Y7Yu2YBBzjtNOhJ6enPjPuTYjT6HhW
ZnAtxG7Ke48ZZuyclgKNaZ2JlciDEBDdDXkhOq3Spziz0I/GXbLsDZTtlznUVcS/wLDCzkT8R6YR
4maa1C82Qr272lz5zb4+CCeEYe2bkZe01wyH3N0gZHykir2HQmVcTpnDjmOK+gqz66nLgkPVErRH
zsW3dDIv8yA+mR2MEYJumS4NjTo1iXeV2c20Jfr3PDWZC8XEa27R+bOsAClGQ0Xpe45DIv1Fpeh/
8xSM8ipQ8TZ1UZ7rmq3OcuUing1GyHa69MlLIgoTOq5WbZZmYj9mOz1PUUFtltKOI7tLwVcodYdq
72rMvZ/6yN8Z6sU8AOODrqj/mmp3R5E2XLXaCn2u/b00CZhoteo7Ki6Ut8oXm86yr4C9y6fZ6bWj
rdKbgrMu85ucVErTzLQQ9kxzo3SiiY1urkNXlcSiMM6GYhGOPhZ9ryeFhmilTY2aYp56vBvaEFEN
xsfMmVA5kewXZfVy09io2ZB6viS99BHLG6fCZyCo6eO+SsF4BbF/ERPVOnjtVzuQHGC0/k6T+RHb
J/r99Gmw4vtlxCIiRXfWNowT2jT5WuXsb3QhDBSs8WVVapGbtYTS9CI9Q9nFEkPVMw7Gd/KnkLxM
jb8mv+j7tCAthAgrHyx2o3MstbVtQMQciF/kBPuE0eV67zP3CWfrEOrL8gtfbhamNYyIsVLbrPvW
Vhaqntisw54OaoORh5dzebH1dIxSd4yUFgAQJHhpky7NhU1BTP4rUS7w05PpgZSuDB4wYtl93VkS
1bMLDWZqhCspV4Bg87gT7LNFa1+ocKB2fEoc4k2Zc6bLN3MUipHLsLDsCTAOBDhiyAQNpG4yN05g
V8/1Yzq5DCg8J8OkIqukCjamlQJJl5Op/wRYbKhN7o7kyxk8c2JbknmIJ0bRfd6wlXLr63JyQuoT
tz4aIDX8jaMBIX8KhKeyPShwERxb5Q2XuVxie2fEdnNd6ATpbEUcWIdK79OTyQ7M8D120cx2zL+P
elEGB2320mKr1Jjz5PQ1RhPCnKxvieGW5ZYmZJ9FuWV1v7iNNPfSocYtky7Bj27xQVN28UgiQSE8
YNgqQR6366fBewnGGVkjUwtHoucLjMueDg+3UdPj+1yvZBKWqWfe+tgnmq2lGfmlPizEJ3TMRr7i
WzfYCOhAAZTucRxuoYoU6YZvmUOc6kzho13UCSSG+EflazqqIfwbb2kPmL/Vv3DsvWurNvG3Aa2b
V4YUAbJmnTJoJ0GH/y1tGQBVl1r6q40N5qRjz6AwbHu0CqsUQRcbd9SyowEj9yVBrxqh5jG/DAHC
1F0+av3jhNeyw15fc5c8kzzUzRQUntqih3HP4fYPOuYF2fF/p1CzkYR4PRnmxlh9QUmefcmSddiw
ZpDcG0CnS3BAjH2QhCPMJYQn7l76ts+5V8vqgUKLL7akwtfX6SIQjSWECbM3rJDrLZ3m8gXfjY9R
pTbag2GWC6kEpi1AQ3rZSzXVkqwFfXrxieo6lmO7WDzbNTh2jy7z49CtsybEjWpf9GRuUGwrb962
E40y3EOBC/kEKeg3mWbBIwxX1qMSPTrrLvpFFVpQfx/6lsBOZPNpj5LBKqdb2xPNDyKoaCF7iUAT
hFJoOSeHh96arTpU3M2IRyIqMmuSO90CMswxebFf9Cp27i23ansydWy72WbSIZaz8IOOFtVI6DRx
5UvZ8i7W0w9G44SwqJpUBUTx0ri1AcDdJLFTZaeeq9wSgSQJKpliTe5tZyjYLye33AJaZ5CKNEV9
iyGc3SwaxJmtcJLyC8Qs8R2aqroqoFDgakNfgDZ0TMR9lZsDJ183dSayNTCchQ42MjNcZ185tYxL
0TIQWmaFQezYL24d+wtf3My+a3gbMWToMUHdfCGIMnE6ZL/qbLZuRqvlEETyQ49CsXXUk0/4DRFd
Pmp6hPByqfe92ZYPcx8bHlnCVf1DG0cbF0jSiVtIaRxQdVWTTOaz1CYRNHv9BxEwa8jFok/etjcT
146mDA9INC8LJalS04IlyFmW8wxT/xTS2deeS+l3hBUrrW1Q9cbxmh8798VuLohp3FSM3LnJw8Kp
yok7rYjSCWsdAUW+tePoy36RTnnibcnQdm6tivgdEkWF+VAuTJ82BllVHNVIDzOArFjVcEhdvRaR
ZnbtUY5ySXbLkBgThzzXOFbOkhi7Is2Headcgsf2hWREfuFgUCFowDXzL0QPkzHtoSa78ahbDUKh
4cVEjpoYoguM+AWex6pOQPR3HI20rlA/4ZaM6Z7ZNHwlui7arQ9f3idW1COaHtWxV+yctpseXA2S
NSEjfE0q7FrcGCoDc412pugPSDe8aq+TgnXTDXNgI3cjdzfqilRmPFgmjWNJ4i1mgKlnPSfLRHBe
kzv1Gkg1tWRTxa8xVV7DFrVLXuOr+jXJ6pMW4do3f9MixL+78jBXzvNr75c//63v6za228ZWxdi4
nvVbhc3ouPQmAgTFDrHXrJE0rAFKMuWKr6OO5gDdXLao03aG22r3Zl+IC1ISU+OTjunaa3v/uVbE
gxPQ9gM3+a51mQVEmRdFkhL2sDzLLB8p0DF3NGOSRRRk+r8bbqJDsNYpI4NVEw6b8Tpu/+02FIno
3BFbWhg4VREiilsTq4vsAEz2FwI66xMhzLsx7uvlXHp0QBNtRo/vRYC2SVefHNKMnOw07r8yo+v8
LxUAwYiBl0Y426QZxVch5wY16OB+0un8Q1uVzgzlMW0WFArvpTG1XjW0GRkrLCziG599ZIN3Wd9r
dT19Ml/98DMiv9FNE087ilMk1u8mGNLNMcGsl5q7Re1EBTHJykcrNAaXvMe6TKK/P89/+GrrlwKV
ZTGRAij29nH2RtKlnZbmvukBn9TjdD7jvWcl1rTPBFgfLvXKuLYAnQRwAUFvvr2UZU1el6Yll0qA
T3s6VQ2SCuwKOAH/o6L4v4nlf6F6+u0H/jCx5MCdfO2WNyPL9W/898jS/AeZpIfABCaYyVPG0/ff
I0v3HwY7/P9oKXmraev978jS9v9B/4xEB2Cuzx/8PrJ0/mFIwxgK3QHNbu9fjiwhD71bxFA4EYW2
UvTXK/nvQxoa7CQjQfVi2/sE0c17Q5R3aayGA+ZOMjVNPIOob/Wd33OaMONL6aT6wauUCHMvtVjx
8KQyA4EyWlQPMTZBQicJ6UPtBEZpohcQ1421Q7UzRZhFrIvWMgcayu5Xy89yJjJee3IVhdHQNBwF
Svd5mZwf0ttXY/y1o/scNa0/nsGfV9dotwUuIeZBlKnpGWdJLWqz3sB66c/BCVFfcj0nDY/34Jh7
lcfHoYXOZxrOtaMFL/lS04VpFbiUmb7WXJCRPmj71IW8Ho+GtpOaZl3MJFpHuia6NRtK0WajMt+V
ZVztU70vbmc3QdA2Brl/nyD5jXSEr0Sd6f6XWfrxgRhV2wgtmk4TvVmaeyFMI/2+1cwKcGmj3bc+
QApWGkEQvJnIx6Jfe3ZE11LFocE7MNsgMNb3KKRnQUL9seXgfz/yT6y3sx0mPFepFY364OhRPZNy
uanAzpxlWkpOGkL1dGvoiBK8hNbWsmRTFSa9Y8/EHNXNU5BiyvcaLSKRqn1RxYwZzKAthgnf1khR
kl5xZyfSJj6+URAERh8P16LnSUC4Tg/zWsWZdm7ZpE3GpJDTaFJZFsUDP52dudh68WavNTIJstmm
9Q1y7kfPfJQAWoGgLhUROGI5MMr5bi3Wz6ZUuOOVGxGvtfzC4IM5KV0PCFjMxcWk1JnR3hAmC6C6
gnvv5NtGlJgJC86S8TjmCTbFcXlaqNbPZmR4X7VRPyNQYKNgpG+TrLf2SoAMoBy/W5OKj710vgvR
7unLM55RR5PeVlMkV0Wn9pQWh8qobrvA4wuUA78qSubrkTPfzz7luNk1qlv1UtXWTVI7BKtJLHRp
hGaChs4V8szM/XI/GlVwjXol9PFNz04XLfEhQDxznrRWtfcNTYS1031Dp3BQtaV/nQPNZiyQdgke
FhPiXiYJbmMCGGCBxFBLqrm5fAFmyb+OaHZtF5h1eQ5zpYv0Qtz0ghMEHTn/fhF9dTMv4KZqiVva
kJN2GOxCXgYdQDMKCwtPg8dQzU2Xs2I9Hc/JnqOfecQbmkQ5e31U5uX8gM+22DDSy87HFmF1J/T4
6NKtPpp0Np6k1lgMwBoM+/nYSqKS24e87p69EX/QvCYe0LZnfjJKRoo1uO2tKNaTWP7UTnSXLUZ6
+yC3/LCywV5wZHmQ6Fgv8VQmx9HExlisXrwGNehmtpzs3BPy+1KCwd8sHZ8rzhcCWRedpaKnqbWl
Iwx+k/d6yDryPEs93WaNoYcktrkXmKaSW9W38zmtKP1Aa70+L9LAfQZ5eId5nhNFk99laX3S6Hxu
EtTgW3LIfdYPmd5OK04DtB0R9o571dTBvkn51gVRUnFhIk8mwY0gR2v23DN/nMRFtVK2grumq4II
I3y/7WIM5nbxy1G5uSHmEp6HNPWdQ1j5VSz081Gf3D2F13y0lOfdZhYj1nWZPrWs/TyDdhI5ReVd
CFrcm8xlnWVCwrQ8mqZ2m0v/4DbmRWBke+HX+xLIJr5iefRr6yKmRZz303cYe9YWreBuwaa+qcia
jUHqybD20nOnvUk1m3lV30VqDIooyQgQnf3CPY87h+Ow8ZMprLbh65zkQhYj59SEirNsH7o6ERw2
3NuqrbKbgLHJrjQKnKyxr3azazU/nDnxcLoX0zUn2Pygy7q9d/SOrt0cgj/PtinQD3z5Xxa7JocU
WymJ4qdalpGqjefF0FkqfO8M4ae91Zus20CBDI6zYxDv5rjZfVrNRB3XtT4cGcPibgVeVud+ZE46
QXSMaQbAF/YSmtJ7mOuaf72faRG2Ln6DghDPZuxT7n99YfZTBu6jjA+2o5gcLz/IscESPrYVwhwx
HzJLPUo5muwOThJOixgfydkLpdVI0i0nNCiVE8jrvMMCnYwc/pqhJR5uyKKBaVInp/mUxhyAvZLe
X0Cm4KDMywXb8GAl2rWBc/k6FlmxbY36qiKfx49TAscbPphO2nKfXWtx+zxZc4b/M12YkYrsyUnA
dthZxZdk9dl6YBBMDyqAOfLwWBy1r1ytx5a/CHqyJBtwsy/xs1hkEVnqImBO9EUmYjiUpTr6E617
J80xV486gedmO54w9URGqWMVPWfQ625yctC6Teq3xj5eAnOTkuy3admCk7w5rI6gTV61T4wzzY02
tHdV3/mnGiUkmAj2TfBz8XHqsn7fjEQ8NoIw6DKvb+jRRZyrhlNi1Uwb+vIg214/DWgc7gfjUpr5
RGi5BONQKvzVdq5HDVTo8z5/Vj5gmUUn9pyY+eHWGjTnEMMfCLtBI8qpYC6FZObgCZ3xfQEVdciG
9sgeQVYyS8i2Scxgp9eI+LZ8BXdPl5RMUK3TO9okSc7fxopt+RXaxvGC6Jr6auy8ByvP9pY7RMLu
feAfgijy9CpIqh9MoUNBlOh2TOPvJfeCscnwDGaCfzafJ0CrBBK5KoufhCan28Rn44tz3dm64F32
Kkjnc0Y+eC2lK17SpqMnX6kujgjUUTQtWW5oENKJpSOzTacWWAiDINbvccey/jiJgZaDsV8y7Uy1
+flcPCUVG2b+FAzlpeuU+DP7yJ6bvZPnvGypdYtaH/7649wsd3Xu3CTF/2fvPJbkVtIs/SpltQcN
Gg6zrl5EIHRGaskNLJmZhFYO4QCevj8Eb0/x3rEum551LWlkMhXg/otzvvPDZ6Bj+fk28v3vBdMC
IzuTHR941iGr+lez53IdGEp21Y3dW/umGMAGCsWTMBKJOKWci1Z3D/5OPzYl/h8DO2LiyYObRi82
VNUg0d37ZoiZliicWUJatxUei3KoNtpg6ZtuGNpNUu8sRZSwmx/t5HVqnG3P7nenWB4yH7zRWzPI
a/MBzedrrcdHx+6v286+kVVz2/HAzCqBViH9KmjBHm7gh8pNqCoFvts5aJSt69KYiGwd2B47hhFd
53G0J/CvRjrL70gMqEeL8rvIgDjFifiuZcrctC2Pi+i4HoaKGAmSketxlTE42XKTsU3L2nADscYB
xOCae5WVO3bCb3NTgxRwDCZXY3jbeFqyt93SCHqNYVQz2g9w56AM6VO/8aykua8l/5fb1NFHosnv
cTykG5MF1kJwck4kKZc7v0dv4ZXT2o1lSF5ffC4m7Sv2vbN0FA8XsCirkZ9T7J8nkwTBMQ78Lt5m
HSVYY9kbKyH41Vq+LK+RrxRs/B8I6eomSJYwBm2Mp9fcYCaVpUPxyoNW4N+tX/JMXffC/Sh7/aGg
jbnGGvhFdVYfK7COr5a07goG3msX9oOK45WrPZDlfCeGlkfJHMIbo1X3TWzc4+PYSQ6DlihUfojW
tnfGcjfxifa6HlXvRAGlD/CHx0OSfvXAbcxCbPH9lec5p+qBMrfubSgPuh0XZzFk5goBsH9T5Bm8
9blo7nmnbkWRf4Is2lQ2GrmKpfphQNewwcoNzoBdlR1I7J9XVtiyNLFtZ9Po7LLbNptXUI8eOrKC
WRVn0/QEYcT7AdBPrONKZVchaNhgcQWxDWSv5DaiC+KBvSFmnT4wUDEjebZyOEWkW/pZwubGdW/0
iS1smIF9i6P4ANKUuPgqY+GXFf2mq7I3kojv8U0kb6GMrzxu+q4eCFesqcLJ/mxOhdHWW25kQi0B
daxQ/yCNUL39Dl/J3BcKg5oXmtqhEjBWVkyOOA4X6iix5c0pom/QTJt73zXs4mT6+XBKqiyFPFgV
dFBOf6xULR/GeG5vBmRTLEG94lGbQCi53qLYQWhCXp4HUZLbsjmBmo62CVp4xASav7GIDe03fuZ/
F3USbbvIrBDJtOVuVky7hyJt15yTA8nQVRXgo+mPdY4/s7HNd7I3/M+J92OAg5Helzlui7RJ0/Xo
dToKo/iNjZJFXExkHIQjymNR9bNB1k4vD1JGxtNouHMAOLniIfXlhxkOzTZrp1NJrE2+KjPDf5Io
tjeDr4HM0jvvaAFgCipRTBshUFJ5xcBEm6/qGcYFZCrVON7NGHMkmcrw9pnX2vveVcVqqEF07VH9
hgC2phc1jUYQeTUYFNcg5zf1a+gz2fgWz0WOYg4wHIzMZmrO0M7DG7SH5kbm3rSbOCk3Xa3N56xv
/cCY62aHJMj6joDd3PZup47GgjFZC5uTOG8YR4HsQriYgWoZXMUUriTil8H4sfV97egPdMVkDjx5
Rqa/qME01g6rgOeZcvsZVjIerRnMLqd7sUOHV+zhePTrKgaNpsNCmVcLw+AUNn0bGGUJ8oM88XNO
ZCDCt9S4aXwTuKiXyp+D1SmycDPzLK1ulxjl/ei/5GWsmauuePaYeL4bxARvMq/RuMlDc29qiMWI
e/3wy5ZI3Sny2RJMhHbXkDZ3nj5aV0s0NoGQhn0LRewNEY7zVA2GBJQD5KXjPXuZzJrGxnHLqxBs
zC6Ma9JcXc05Z3HzmKL7gxCHsAuXaMHTWrx1Bc9XKMdgkml7JPg0X5ktpfwkdXEylzeSpJDnzKgz
9hT6iGk6M4LaTm6tCJQCZJZAMWRHauuMZ7rz8bYZDH9DXuorW45wN8B1YN2edais1MxxFKmThwnt
KlVhOmyKzAkZ/M4ppJRpvs4BWXHPUuuzhlM7bpA5ZurGwt2+VoYMX1khNPuBqekmGUIiySuuHDYc
3h7Vu8cijN2Ccv0VXIjuqBl8L+HgdseBeekhHDL3zor8ad94Q7GrJqrdgJ2X88qimZW4kbKNrA3n
hyWQTY2oKnuKQEvdNJzpnESx/amVoNysYjhEpFdvGnxud4X7ETcg4uvbhr12BCCzaA5mcx+zRhPu
3urKHxN3+rGYycjyq7rY+2zptz76P8pOlWpXfuNod7lZOasIV8gzpJAk0Jqo/OCJJJtFYCEvoPVc
aX0S2Fo636eFFb3yg09Po+VlX3Zoj2sW185OZH7+iCKLgzWFHNXo86NJuAUQ/3B8jgvDfy1VR9+i
TESWQ1IeptBKv0sb1s3shwbHDoHHELC8otpPPbnNlQdQum/yz8pPeRA6RPMtx5IxZ2uUbr2+0WJk
g6tQWHP8tiQXrmw36k5dbEXmxhWabuw62UIbskdbux8paunrICK+2nakZdT/ef8WQd0vV2xhqvsS
0ddtxve4yyvKRrabU3Y1WbYCj1c2xg0ESv2QWAWEm0k0JLYvsuuzOdbWi5sQ8Dvm5kj1YGBuWeW5
Hct1qUL10I+lYkvJp4w3LPSv9cTIn7XasA+Foc33RdvSmRpeXh8kOlA/GGMCjWJlUbqopvJu7Tlz
vsI+xsNIScwlJuBWqTZzsfQ4qXdiCJ/sKpN0x3XTxCKgETV/ODniUn0MtW3WRLTQKNk2Dsq9YDJm
dugs4tdWSgKP8qruqNe9B3LPB1Z3cgGKIuezHP9H5M+3RcgCrcroLYqyaU+mDBnZ0FqtuOZ8L2Dl
Tdx9LFwZoCugqzbyud2ZoXh34oqtml+t9b7SOe3LYo3oIzvGvT6srbyqz1GNKBHR3HFMaZhS7VTG
1qOUxpqU8AkdbLPtaEf6qA3vCAZFEUrttW7Kql33S5Q7akm+ZDbgk5h30j7XBYjsJOeGDM07vouD
6XSvNrLpZLI3aS/IdHabg5Al0XjLY/DaqGGdeuilfLXuQyIeEySX6jqidMVv4bWBA/TdSRHNJuim
Mq71qrHSRSjMFaOS0gzAyRUbib9LH5+JiL4jbS8wC7UFBvlo68UmacIBM9te5V9Zy4U2IFRAYXjv
zG31SGc47Fj+/YRSh8ZZp7kdhINyt7cSRiNDM5/c2HWPfp+56yRNt0KPPlQUf1kGW1M7yfbO5Kg1
guMKNSd4wMTOn5leZKuaweKKzEP2lGLaOWNS7hzhn8Cb0SvGzklYzodol5puILu+xLJBBa/jZab1
tLkT7rJ4ttZpqX9NJsU3W8Linht449XTuDaAnO49ECpspZl3IAZCsgk6y8pviuXAc6BewdlALy5K
w165LnWe7oh3q86CJDW3TPc2hY9PQRBwPkpkgay712MdBggludycewcfWcoIpUBJHibtpzl6N7Mw
zj5tfF/7iIdnAIOsXe8R77pbHtB3Yies1fI8VoAu+XTTdRVN9CYI/Gwy2hMye9eJ9dX2d5o5bW0y
46hf0Ly5YtzkVrVBnPBgO9VGkA5sts5p9KPvntg3YO3nBkGB5z/ORKX3gzgZCngelmVitVbSq0+z
GNjCx+IprJ37RjMihC14ODvtxjKtXV+N73qcnaOU77gzWfWij7Sn8buLgpC6YTvmHpd7cZ2GVyx8
kNsm4VHl8p5K9TqzGRJXuZtu2OO/NUioUGEvZ3p0P5Q9xMLEh1QemodpqtDviTBIFOhB055himm7
MsX0l0nDZ13NIKWSjX3g1n9OybgJmTwGwwgbnpzQcQ6i3DwY9P30iEGlI4WgwfMx2VEzEkDOiNu2
eBqLTTR4R0Y1AKGlx/Ejq9sKmf++i7qj61fcZ8S4UC0tihq8lc6wnkS1V14J+rbYT9Ytk0fKfjVu
64rbJERdiaYUciU/GmZg3RFXxhpWGEAruDzrXJXjXk71imgLJlh40tcM/26VyLdt1vGu4X/uBh/1
OHM2BmUH5FoR0/b72dJ3boMD2X1XStDoyZDL3P9Eh7mzUuBIefZVSxTMkT13Z1Ti+p1spyHwiLGn
pBxQxqYieoZ9aAeVbSb7OgSLgXapRg89vedmz2uDRtmttLNbcODlY7oSwxBA2w1nRmx9eYybJgCv
9CblsyHAiPv+DaTxdZP4W6+x6/XQZ1sQKAuU07IfwuTKT0RQDWwWlR0GBNz4yghU81IbX7ix3ynO
1ao1GrnRWnGblVZ4iJzxVOUNL3zTz6cRR6cX6rdF15xThDkrDvkfpT7e0IEcCqVe2lFe6dOLb7b3
ZQP7gwmTt0GrUOxBxb+kSbqLaVPcepG8Yl/PQ3lM+o4Ld9SeNPOcaDU7DWhken8ilG8lCiAURNKY
OlmXxdWUlQctEftSztFJ8u9UfwD6R3bPbRFN22rYafLKZk5FEWQfhQ/9Nn9i7rDKwqdGXQ8uJ4o3
Pxhmz6S/2yb+bmAuWndQhyeXnpEhte6tw0KcWams4v6UNi8cRStqDrCFrDVg0nnyPqEiHW0VTC4o
5tm6dZ0n0bfInN6c6UfWPrFuodmjHeQ+aDl3q3k8yW5devW2Fa+tji62NrB6d3t9KRa68rrTmLnh
8s9KzjT6yZdRa421qPLTrPfeqk788bG1JwCaUZVtTLY169wUjwNG3205mgiR+unc4AuDLgRFcO6+
7NE7FgSX2mZ/k9PibX0Qy0e7ZtdA/RJosTBOOH0e67q9blLtIJtkeapLfmWxX9A0di1WtmrGnyGD
2ULtk/bePtZpQxefhT6Ju3S23Y2rTfg03I7+bnKjk2n030vHgrylyd47o4B51JUd7UXnTFeMs+z8
DjT1F1cQ0w+PSsaO+yvgJzBfs+Uk7yZxE6KH2cHiA9mVMfjg+GWj8RpG0YAhZG7vlP7kaeU18eir
XFm8y7Hl3iSz7x5qstXANj7YGdNhl7amabg6xtlAaxa9dp09XXnK2VJbs68jNaeeVuxEPRJsqivT
vJ0lN625y5Js2rdq9Lc4t9TGGL1HAHgBls6Tnuo3df2sJAq7tnjMNG/VDl1gIg+C7GkcVWpvVcGG
rZwvQ1Nzio6JAujs5CLcMgpP92A2SRTo5/ps66N7yLr6jJCCYW4dxHp8XzPIZcyCF94v/bsC+DS9
jDPysZRiGhN33YLzh5zrkPrw7ipapJWesedooTgzQ07zcxSeUtPp9zlyI/qQsAFdWck7w/deU5T/
BwTVKYj9BEYvxJRj4mXrmJ/C2vFq7wzH/FAkFXTNbWMVbEsN8aPiw1aOmSOwGLJwPWEvHVf8jI19
yWx1hwDchU7qy8XaQAHEQ+glqKAwGa0sV3tzqA0zX4v3FA/dRvMmBN4T3q3RH8ZtIyiOIGTqFBai
764jiubHyV3UvllKHeoV92Pqv4NH3RnmAJRaJDuSul6mXLtmlPCUOdkexuLeqMXdnEZ20Ok9EyvM
RObgHOdY3FmUdX3Lrhbi0irurGRTNN1T0RS3FWZ11A6dzfA36dYFWRZno+3MjWOrYWMO48+YEnqF
xkvu5yr7EU8hFaLDfTVk1FXABN4J6vHm5g7Fa8bIgddJn87kAz8JOkWN8fsusaiaIlx7W3p5cNmN
cyjgoKzTGjmwrJuHkJBT6BJizo9tlxU7v40/csEqL17yNLgJI5xYIj6UM2v4qqAS1ieetrQqVwh6
GfFUgR5lV5oH5olegB1CoZXx0R3SIyO2cKuqYdoN2CICgqvydWRbu2qeUYJL/s0EXsTt1SGpGm09
57P+FBXCWCHOvx50olY6t/bXS4cCEBpOeIlCbmDXuk7EsnJr7rhpUXPWxPH4fePumlJ91WTVrXo3
rdCEWcZ2bqN0LTODAJfJkddZbt0kqeoOfGnxSnaiOHSyLo5Rg1Y8rsc+CHvZr6zW8vau0X0P47ne
MrAwAyXDONDaYjtqxgMv361MGNUwx4qprkxj08wdu92ZSVioZ+Orm1M+SjUpOjXZnFSup5+utMnc
bGJ5nKuIwh6DExO8ydwmRA2BINWdDRrQBFxmrA4NEvWD5iJz98siW1cZhqLESg3EommPidvvAmtc
/BsVagcdwTm2GpR+MtI/yY970QpqOsheO2NAc2Ba+LNcSWh6J+rXiJXRrUm7EQiGUfditMsNYyMM
S02uBYpQ4LM12+wrMPkGRbqkxvjpw9TLx8kL3/Je17a2nP0rSkMcQB2r7wQUKGryhZWiu+eKBjgR
Up60SJOIe108XfMgrtq+dg4SdekaagUT5km/NZdd8lznN5VrlrvE76rPDojpfjSlfmU2kf9jUq32
UmXl+JpggSJDpp+Ye0ZM/4vmu6GVLq3OfF278c0Um/cagH6GsnwBopqrh7GxFMNPNhapRb03NqCh
Df8zq60AT065QVLcrBlDU/wkmY9EgZKhoBYH5Z3a+cHOMd94pnLvowRLR+HVT65PPZOaSE49Oxw2
7SjmfVT602M3IkcXBHQ+wdo9YwRPvrNEkfsRRO3iJTgXLj/Dykp3Q5LUB4/AuzUWMri5KFlCEilX
FghahlDkQhT4ULqyOMQdMjppqeRQxekWDkW2TL3OVZjLG6Ie3kOnzTdIHzjR2tlsMV9QNgBxawO/
lkdfv5oi/b1jehBrxlYDbdNZ5TKb4u2BHTaSadBbaDR956HV235X5Xm1hy9u/X+or27qr/Khk19f
3fm9/o9FuPVRcR0mUdz953/86U/n5ENWbfWz++u/+tMHtf95+evoq1o0T3/6w6ZkYTbd9V9yuqfd
yX99gj/+5f/rX/7t6/K/PE711z/+/lH1Zbf8bxF5L3/SUpnIQf9nXsTxS7ZffxZfLR/wS3ylmd/0
i64PqR0xMMTJA3D5pb7ir8yFpUJUB0eHAy3mn+or/5tJkgGBcGyBPASQqObaCj3uP/5u+98MFxUm
ii4M3yYUtf8NMGL5wn4TkDroGn3c/dhZ+RL0hRnB3/+m6EzDPgOnb/O8LDgbIKsVXpdcq+rNZCsI
2nlVZm+8ZP0e1M3iuu0MnquGjBmmhWr8bDPFCAyT5PL4ZY+hwoK1ItG5fJE6+KS0yv03O/O9W9GH
5mtrKPcnnLl3OwZpfvmh/1v993cwRv/y+Xsv/3Z+n77+8szyMX88gt63JQzU9D3Lt2CMin8ySzT/
G0gSA/mfIZawOHdRDf4BLfEMHjQgDOQ54SjGUwwD5Y9n0NO/CdO7kEyWR/PyavPm3f5SJvPS8qr/
889/K3uqHExZ7T/+/hewEGNOYpygu/IIOnArrL+SfhObuE9Up3NQoDUip66aokM6GPa2db1sj1/T
o7UFyDdsJLX+dRM5fXIi0jhgLwILJ99rWpJwQ4coFvFKOYuRqFP4PDSmlpiEPD95GRwNnwIKcfU9
N+LE28ZdOM64y3WWQaOh5xG8kKhfdB1Dt+qrGfegWdNx6cn40zg1bCpGI6eeJIcDN5xHbQh2qlmV
dl2+wyaYPZJR0v6B7iPovAn2U5a0+hPLgajgHvCLk9L0WQYWmuVtOzcsRxk1KI5/iZNIuU76wUSf
NZPbFuvUHKNjPdojEwe37p9JXoamH0dNs2tRDbJu1418V/rdo18mRb4V5hw0YxPv7RAmU6kZFet6
g2X/zHXwbjI0mZBV4I5CnWW+j3XafS/ZM+8rZTcrpyuKXzSNf7+GfzdskJj/8zVw9d4NCb6CX1fK
4fMfvz7gDw2u+GZavuviIADyyxP/f7BBpv6N0GgHEp6nm2Sb29wP/40NEt+AqcLcNlHGoLxcgOR/
vIGO8831CPniXYa2wtHt/2/ewl9A7d99BDZ7GzgEfHaOCD4T7/rv10A2elPpidQLLMcpfxZ+57+V
BXj7oIr6XW5p0VdWDnjW+2gUbyH78H4jpn48603b4JDzc/sZQzpUec3QJIMOXM0pZt963qVzjV5O
Co/dCv2Lh6yHJFccSTbmmgCMcfUWGq7Tb1Kef2bEY+8Z7EQGs9kUJDXxLjnh1K8Q3FVbeKmhebK6
zFXrhRD/yE+ty1Yyn8eP0a6ktiscuwMVXosWMR0qPJyYimyTtWBGzW4EyyCr+SZZ/DC2TtE4hnrC
KCZPX7FgM3Gz3WUI106NrDeWFWOExNNjvefJSEoKAUSYcQmpkvoeM652DA1rQgWo5tvBD8ufLa/c
MUMEh8CjGe+9fJZ3oZPB2tOp20aSPcyc2LNK9C8T2VfZykJcwqSjmK4dc2IfQmOP0HJCXrsZ+zo+
+OzxC1QSAj1a6QyszAix8bcNc+NXCUMsZqld1u9kBklQCrB5liAkHWEARzfatHiAY71hHex9SqUx
LSHN0GYhWyfO2etd/NqkNNlRkJSy/xk7UfIc2XwaOh3hZsQeepq3BvIRk8Ogw2QwkHrMxxQR5NNU
2xDJ/EIhTMN1WGOTjZ0RyVE7F0AEjL6DzNlGzx27ANiVReU3OzkInIBe6uKVrl3sv0fUsYjkbOz8
6IjzeBmaZyR1rUMClg5qwmS+jobU+Ox73zpaeHzFitUlarNhyNDd5MCod43Jt8Ov12LSu2RfOtt6
HvrjVJg9+echTnjGcgnAbMMshjBgGMvsvZRdLfdD1RvokwTm2JHkFxbd5hD0lTaRjEh/qa8mG1Ao
ivO2v+oHix0ndSNfw+A1zFp6rIc/CHsvX22G9zwzohp/2HBHSR2xO01uUHewRep6ewzXXR/yKMkp
YRth9mV5JYleIhwpaZu7Jc7lhUBo4sKRu2efKiwJSOeacp+KInXjTSYYbfOrgmi8GRQkfAXc57Wj
Kc5IM8xdLgpv+dVX5JzQqfm9hD5X9dqLPTWZux/yPvoJCFNNu5LqzGXL3CbZzahnJKFUaHmRA4/1
tAPmUfhwRUyLJtKU8XM4R3676GZDiYCuBjOddtb8DPMiTVhFoQJc4zPF3a5JyYIjLkwv3moZy611
Qc4DNyktOFK5XKXIRpXUEK343fexb6yXkMYxDCxjZj5RM79uz5bIhhQBSYYhjMy5FNp24ZX2IYrY
YB6wrxbpts1Te8k+Gxmt5WmXpDewQnqovcAGjHXbzvzODVS17F9l2Aicdz4CyCnxIhWwMxDuThNU
FOvah2C0Bpkxj8fRiMNHj5ZtwvlXqThI6mS4E1JUxjHRbNq2UTKGfRhrPTO+J6Vlsz7SctptyH4j
9jg5t6+SB8FeodMZxlWB65nV3ZTSdFL5TJiYa/w9Ml3VLb+gmySLnfAuUvhJVzFucGZIKMbUVT+h
vt0VA+P468zywdcQGjHACvEHn6MHKd/KSjKr3Q3urD+DkPcF0pc6/UC/73Vb5brCRCxXWdEPWxvs
74jFo8+h76xPGRc6MXolo6OrpB9wrQ2urj+zqmAngNu83kjXYMSGJjl7QeHjdisH/ZePi9SNXjxi
k5qrnlbXA8XidC9lEeYkrtjSJsVpHBn/RmNpoH6FLsqCujIRriPCcKM7cypgyVh1uSnwqf/wB0Mb
aUzZca9HV/V9UAtnNsmpTKxHMrUi9qG60ZOTpnvEDVbpIDMWEnp47IhSs1Z82valsfP2h6WyDpsg
3k5sd2EFzCk07Iohbach7kJXJEgUGnFUoF90q2TbzwS9yT4nS04jAPUnNee4rCJDCyjNwCl+CN3Y
tzYOLBO43iHLeB6nDGqHsBt4OP4ANVXUdQHRIx59wFKxq7q9ZOP4mnABGFgATeOH1NF/cHjAaAPX
gFrxGM9hN+/jJJM+6qu6+2hl0zP66pr5UTPC8LHFD9MiSxBvmreANgo7nXeoAt3jHEr1A+FddOpd
37RWmGTCgQHpsGYVVz1KW3Rn1bbFz57sC7FjgzvtO+hRnJ98io86deqfRNehM8gN3eMyUThLmcnM
3GQKhei4atC6fef49lxYWG76yrzcUI9aakBhEm73IhqjRUaVjP2tZ9tSbbI5VC9ZorG1D+2eJTW/
IGfnFfxekCtO+QE3JCO+SQcMgDjRdckQ9NKxR60+mWZAu+Fiwe+wD8vceaj6fIxApGVVuImdHEZr
U1Kor0xd99+GGnzCBtJa/J61/SwWEJWer2b0Uu1WhAJ1+lCPlr3iOJp/8v0MkpQ1LJy7CVm6fRWW
esrWCiI0PohSjjexjKdFzG6MZMSgBwIGLSF6risj1Jt1wlQL+ZIWx+jCFXua9b+b0276VeRSK/6L
qjjp4v69/GthzMf8URi7oDEZQ9CcLjDNS6v7azyyFMYOzk+fQQhGRX0J+f3vwtj9RqFq0/kYvwxo
vxXGFmY3TGS+Q8j95b/7Szf6r7pTcyl7fy+LDZ+qmLmNQRoNX8JfSeywWnLOXacOPI9sr6BGB4BB
vEQ/qJFpmQUVGr4X6pDhUY7j9xxO+VqfWXVs4WjlxgZbEOKLjC7rNLRosjdzy3RxZVWa0Jj8R125
6ZNm8G/LCOHdaRwNbQpk647Pv/3I/+i6f++yLY8m4k/fCKN/mg+IinB0TRChi9P2tzGPaAmUmDU5
YMFGB7afoybud2JmPnhslKRphgKffCam9En+0puvhOveXUeNajkO0VYSGeoly9vmQFIJBrOOnrpC
JrduaBeww3iVT6NpkDROCER3r0cdCyODeUOCYWIS2bLlMTGOC5FHew3Ub7NvzW5qVkrXl+AmFZFZ
NDVV/hr2Sj+qYlkei1Yh6rbgzJm3fqSKZ/Rco4dZhEyydTwv9rio6vKPWkAd3qgIDFgQox9kM6RX
UNZk0kGqSkdTWKyJ3NSB2IQ8l9JlyOJ1oVnsqwfCJYg4ICAQEK+M6tsYrWG+9gGeEWbjEXiyBcWm
4P7wS77inhV3rshZVEUesAUa7QTJDTAhtvZd4Rrt3vUjTW17oeQVwoZJHOmnwnpnYBY32TPl9adI
vObYzL5zSqUo1hnRa/KQU92/pYx9YRqk0FAYazSNXAlCLj0Abf68b4jnesOR390iYbf6bQ4LAaKK
EMO1mD3uFDb1VC+mNmsuzglPj1DPLGMObcITssKWl94UyWBRv+KW+Qw7CRCoQJz1s+FyavkmcvWI
nnTQ1rkVm1+RieAYo5vERTJp6TWL5NS8qcbSvGqUq/C05RVvgOIrRkWHkLv2gJGsHJ0YUFK5LHVP
HFEHb6MtJsyXDdmfesHof2Wo2UPjYSGGRi+eOFeiZQhKYFMl4DAWfYFnXtrOc8ni7CO5nMVAETmX
08sZTQnOeW1czu74co67lzMdPTrnO7Gp4818OfW1yw1ARCC3gXa5GcbLLdFcLozL3QGch3tEv9wp
PIncL/nlrrEHFb+z5OIGAmDrv00u0Zjoswn+QU6y3FcR+mH0mqljP5jcZ0yAudm0yy3njQztVzB4
uP0oO7gJ9cutyJgqP/D8cVeq5drULjdofrlN8+VipTnnjpWF6G/9y82rDV33Ei7XsWEhXXm0zDZ9
TS/3dSJG9d0m3XRk7KrhB6jp4UzoTHjrDtPl1kciWf/UllKgv1QF81IggDoUYhfNIv9ZOlN3psWu
Hl1qCi5ZqovhUmnkvMQnfSk/iqUQcS41SSQoT8B+vnWXimVmTfk4LWXM4pdEK7oUN3lN1NzB71EV
834v9Y95qYXaS13keaXxY+qpt3Za24hXv+8HzBiXeop1NbWVf6mzYF57y76D6iu9VGKGE7KExrjg
WZvsUq1NsqZyY/ZAFRcZFHQsCKjthqXME78qPs3rjE17qQShc1EVapcKMcZAvEhflspx9lHkbeRS
UJpO1r44pCpaK2spOAHsNNmuuNShvWV3xAEQydFCNTPMx07LeJmJ3qSCLWeoDpQMMZUt7DeUGaFZ
lRsIgJDWTDu6qywDe67B54NYBoynpGZWabUZLvVzqvHQ4KyR3UvG0eqvMzOx2duQp16uMYygseow
8qIJ8Ipi0yZ4jCP+TG9PeisBsYqJojvmgwV6rUHKUqMsvI/9Lh3WRk9OxhpWSFmefH2CNxc7HfGx
doOrZjUmIaupCkAs4i9gKyjIXCMxbiMKabAwRcKwRzeMotq69BhzUPaD7ZGdaBTJlqFLdM0yEPuW
JiFrrnpPeQI6XcY81Ze5ejfpHx8hhNhEz5Pz8Gn2ZBhu9CEfhiuXA734dJOY9TDvuIt8LuxQeJI8
BQ1Hmv58ZKYLRATUMez12iynE90STigl9PEdeJ5xTsauZjhAHPWHY0P0QjK27IoR61HQJS7DH7yg
5oOfuN1JNfn0FE8W3qisbcs7tlLiBkyTeWeGY/uTRs/8oYZylFtQ2I614u3FLhq2gEzYiGamzxvG
OIU+owP6l3Nw91xYcXSTEuLIWFkRborpBF1JdiFmirpr3+n04WiWvY9LTVz4mhLNBfq9zuuekguB
c7zQONthIXOGTMB1/quF2CkWeGdz4XgiJAdnQ9QKfM9QOdlH7Dhw40uE98RfklyS4vHN7cckJGFx
lRfdII4kWJNebfN+3CKwHjGTRJoLN0VNbDNxmyNPoKIZ4lXEIxZ4xFEyq+mTFkINGO/sypSVf6tk
1z2OhR4jNu9UeMsW3oBOb8U5HUQDg2nz7/L4V3nMhu+3Wu3/Ijc8v3fJB/sbfvF/2iBePuxXhWyY
32wwDOwCcRaSvej+E9/A3yAEWVLxHOJbzd/oDcY3X/eQuy50DxAPy8bnj8mxvfwVax3+PUB65ibi
fzc5/nNhyd4SdITnoFFaSkvd+8v+EDuJGeE9WkBEVFz9XWL/F3lnshw3knXpV+kXQBrggGPYRiBm
TiJFUtIGRkpKzPOM/f9k/WL9uVS/pRhikabqTQ9mVcpalBIRCLjj+r3nfOdD0D2BKF2Bl2uL/azv
nOlOx8Dp7a+3eXXrxdfCRFsYCV+a8A/yamuGKHs8VKDNx6J+MKsHyYId7/XlKqpv+g7Mw85jOwLB
iOoHSZhdfnWdq3C6cIJbadz9+aP4scz5z/lk+v/e+bWKIvj3R7S7rBye0vMTGn/lXyc08ZfEnkaO
iO0wLSas4L8H2IY6uzGC1i0OcEyrjX9GF0ypbQM8IbMJYcLKV6vgvx9AB3wI8z6ePHhFDFXsP3kA
+YvnZxvBv8blI0g1SZR8xpdnm7adU8TXgACChkPGZ1Uy0OT29AFXxaAcFhVTMMSfnEZicpRk9s1N
aAsv+DKcoUfUixKvWc8/fBsagsfdoswcs7J1BMrgQasapYsyfYQU1A+4yqDB4wiRMKlX0LV6H4BG
jqwa48hIeBfpnJhJCOFNToOVRp9GZ8Bq0iQ+c7fwIicnfI/1Z9o4zVBgj8ekgjh4eKiGFimqsrAE
VaddVImDrwXxfr2Vzpjvhc4YZa4RVFk4YRr9YVCt7fAL7L8t6IyvY1LceOlNZD1Uyk2DFKfeSOWw
WShbUF9Z3yrlvoEyPV2PPyw5DZ26K0f5dEJibW97dJgfnCSyP5E0TLObdiL+c+XyIZ/dJgo6tA+e
8gAlOgY3qXxBlQmMT3oj7UlGBXqfuPtA+YjqKrO3aJTsDZrAej/C+/sE+9K6CgCg07fx23waMTS5
+pZsYH3FdrVcFViXeqfS6MPXYTZsbOVtwi46nnLldyqV8wl+OZ555YYCvIh7S341Utn7HW27m8JB
DTcoBxVmZYMGFYbLEneVa1YGkhhluML28mHEgyXo8K0nZcvqYdquiXXGSxe27RHAFOBCA/dWnoOD
bzAqgSA8xMrshXH/owbB7tJTRrC+RD4KOaq4mAQ2MWniMh6VdYxxbrOu7da+T5SvTA/ljdZxJtVq
x7wolf0siGM6cC5OfEWZs3ZkGX8NkoqknDk395SB2lEoOxvO1vJJMQ7birBBIr4/2FovLkflhhu8
7u/qh0Euq3rjOleuucIuu8uJz7Wh6gdBViz6aZmU0a60uuzWVe67aRgQrKZhsRuUN29WLr2hm7oH
Y3RG+DHcuAHF1qOJrQ9e5aDqzvA0KM9fRQm4FVD6kNiXNO0ZAuS10EF/1Kov0FDdiEmMR/zOYmub
kfWlMgmbVnxLP2oq/XJR/kMT2gp66FrgHcCdmJRufUmvActiVyd54WvJ9LkQExnPyttYFg42R9gt
cMawPur8FRBxMaCO3ESI15q6hem+c/ZZTAr0oByUjTdhI+k40z0U1jKvU+R5nFtwXXICx0E7CecI
WdmGx73Q+I7j4B66JU90gnlTMHbcpsrP2SlnZ1cRGl4rt6cVms0hCGLdWPEyLI5NVhkHQ2/MLVOZ
z+QW4FLtsGbkykeaYSidUPYg31UuU56eJy8BQcq4oT9GyotqKlcqMKB2jW4Zz2q1FLsIe/y61ctw
Oy32F8SYhGbryuVKkc/pXiTRNicI+0SyuXegGKSy+2GRXRY79RflmwV6L7FA46VFodnc5XE8HHXl
tI2U55Z2wXCSiLRPwQ9L7mh4H+0Ely6ndyX4xblb/DDx2srP24+C1FPl8WVoZD3BIaKyJt9g5U1h
s86UK1hinDq5QtnhYyFIeLEuxFJeSuUmFrZ722Iv1uKW6G/lOHYsrbqIlAtZw44MnRo6NAZlfEd0
1pVnOWNJc4TCxzyN5KhkxICvpHI5N8rvrEGr5POU/II/3NDKF61Dk3m2lFd6aqdYh0Lk3BU/rNQN
puqAAw5uqZE0P15EFzBELNZEFxLzpBzZZTXoh9nWb0IjeY7F3oI+tJkdsdV660uo7W0b2h90E3vF
SGo7VfWzZQmr3NIyuZijHm0KYffJqtBi7ZaJx3INEbeClA+tgNQSGptI/AZEpjqOEh8hb7WJGiLC
h2rEQJxBa/fa8VGDKLTR9XwNjXWtHCcSiC5zqzCheIcNaTiab4p0OKFNLQ69LaNV3xVi7y3tneXG
17OhCL1yABJgpvlVn2rDzQiL91EPsB73QvvC3AW/QSjdG5ICTUSnhfJ7fiqkc6iFGmHMwjuOlrdH
a3DUpejunCXZGlHa77TROTgd3rVQ00+Ox/8i9HSuNnqIADukW7cNR+04md7fZpLcSJGmG8LAYDlP
4ZPuMVXSjNG4SmKc+pYd10g5OTk1jbt8pS/HyaVlnSY2dghyBDDWcvYg4QVdughsSU+p5defq78J
3vwcVUNIYFsuPuIbDbd6hqy0m8bvqIcmPBBGtIcXle0XocnPsR2jQa1o3WhMaDntWqcBeu2mZCaf
rXr2KtxqkuFiMB0S16m34ZLWF27VX05zMx8dZqCNaXxgkYFujMZ0LRjYrZzlynDT5LqHd+vZGFQ3
pRjMw7yMjPHJSWAmMYBemgaaOltbgTmZqwDGHoLhXhqI6TNrHHcObp6rcsy+ILIzd6EeOge7Hc0D
QIW/odog5om8BvyxV7p3aRUADyeiet1imiBMqNV2bYcpfKU7RK0FWiBvsdxaV6HXVzeusgfST8bl
TTf0FlWEDrTCs4/90gWXdAntbV33FQOarDzhHp1xuNBTgWxNE7BJtHt9iGgfleO4neeEt1234JiB
Emwt914YJ5xi3ar9brnzEq+8uRZ+w4ly7fCeoOMhgYdqnXX0SEiAfqt1D8nS9zcJGlhyeefxW1GZ
ZYq4EG4/U5zwMk9SF1MHhKxxuHDATGwtlaLT6zqcM70+6ETHbR28SVYS3cmqtL6lo8WN5ZV9yCCe
XmAJHzZwhjkXE2qwQluQAfvJbHujA4m/nnB372uKLB+TuMsI3A2/tNpCqeceBAbCScwn28GxY2lb
u9a3uolEv5KohOn9pHF/qJNi33jJqQeot64XNu+ROIYtdotLCd47DmfzWA6VhdVran0zM0EK9dkF
3kLyRQEQpP10xAlcfZiBUGH6tFGU5yPNlHD+ygTyENCyW1paLNN8M3enuAtBK4B2qRL8o+FnFB0M
I6fyEsn3lRtOy7rV5lMnsaKVPMi7XjaPRrpcDg5+y5K+j603LQY0+L1YgAgNffLoRa61dNB2osWf
V9agF7N9rlmHbF4KH/CqX3ve1wi/hh8lPMSskW2cU/chs/N2kRsSrTc+19qXDspOzBo1pkuXV5lv
YmBZNd58O8/y1g0a+k/cyak1QNcm1kXSp/dD2CzwOMqPbuSaXIuqKyxPLqjhXVxceyT5rMtF7giI
SYCR5w2tXdws3aznfhEO3xpDjL45MsnUNZIBzKxekdgD84AanGFxftBE8LUcvAdpH8GSXeaU3qvC
hLqh6dDTMCEw6TiZdbIaOu5zkHUmi4aNJnJ4P2YYGys63KvKCxbYnvHOCg1lstkbjEz9hfPENUTh
b9E4naaoGwhWze3N6EQPnUX/Ue+/mEV5x+DhG/7rv4O03ox6so+KlGiWgTxo/CfoWHBRwQ77ECCI
XS9Vnl9ous1Jd6D47QeYRnMHgUHPj1YotlEP242BDBkS4w/nYGuu7FS6dx6/NyeCAQGBmW7D4TFC
BbOqDKN+WID8QpG+CmGnrxgF4G1lYFOa2T15MghpqvohdASZvf4wsafOMu8+TGCFAiM8oEkpjwZY
oGsNYjthhmyd2sDQ41nrzI/Dovj8kRFfgAVek6p+BJ7Npt7vm6b+WMlYbIwO2FUeS7yFWXJVyKIB
EVDI/RyFsJR58rxPFV2iVZtr4u9sSeQXyMpAnbU1AL4jFb+agQEmCumOMX0jMbG6SnkUOV8AjZGZ
hbWJznPEG8Bpvg+MP7Yh5nm4TTzpwrK2Zu0sG6CAqELjAotOQ4YprONnvt2RIOPLfCB6xrHb4Vof
Uve+c20EOjTDrpxGBhRGi7upNbtBltLXfuM2UP/yvn00AJaBKh6U/9fYRktW7oau1k6aZL7hLF5+
CWvAvndTBh0UL9VOlE6JSfR2NgmYyrBXdy5BU826TQgMEHhPku5p6BgdeC6yG8aCuj1fwMpDYdat
bUtclUF8rOK6RORagNnGdkTI5ue5AXKUdFKQ5TUccUiyOzG02qZjuOlG9yomgfTUWhBHcJ0Yl9Ql
9kqOI0GT5rRl3V3OTv8l1Qd7a03LJbFLvPQI8joMSQZUcxmTQ1+7N7wGgGUtwakbuxIAYj2BJDc4
W9Tj96JPQAsCmgSmHRxRHVHsN9q4IlWB/NS6mSDRmZfol267OsO0IDqb5VyBxnbiT9mAKmPJCWTJ
7Sa4HvTO/tTOTBIDtlTf0ax2E2ndM7kDWNXNkO+Vmc7WI4yzRdhgZflDoQMHzDz778Hw7kSZ3vJG
9Is4pseqOQfXZg7TCFuHh01bu8+x+c3ZPOMFznnxIhogWoXPWXmI1MZu+YBnFE9FkT3hlSLAOpo1
P01siggXRpoeL+IrI9NdwUkeTVG2Hgu504vgWKRl5mvGgFnYrcJNKKv8ES01vCTLOLZSYubpK97E
Lptr4jwII4T97skjCr91nXmkZmBARbs2HSoD6bAD4m6HRPB2mFF1EVl6mbnOhg0sUMGpNhkYkllb
4KCHVAMVpBCXDWFZmyEWXzvRP1AcXSNLC24AO38QMj7ReP4sktoCSk0FlEvhu1CKqUwSYxcZ+iPm
OUIZrILa3BXBpm7GguNQ+VB6KkonIpnOtBllUvRmO8rOCnduPh9bs1Yu6X7mUAeDAHJx/w0eC457
lin4odbL3MNcaMkn1XS/lA6eEgcpCYCLhXltUs3OEylWYtfY1lBwIoLKJ5I8+KQtg/m4AJhZSRtO
GCCAcR0q/jspQiUDwXABUZN7h6ZZqnvRs8aCvDXx+NhTitvAocicBwPVXDKDUvFy+Zhr2Whtey/+
FCUdjYGFXXqFzNbO+XOer+zaxK+rZ/bHKu+/9lObH2Ct5ce6FJAMK/RSw0x5XGhIK4mlhLyDGfVC
iy3rUPSd4ztd6XwQuoLCp6V+YNeLPxbSTrac8rQrb5l58zqdg446sNqrzhQF3mldexqDtPvQd16x
7qxO/q3lnPvSZcb4n2Cxrduw2OsEPq3o6y4FOCKmtPAv6sd4gADa6Ut6YDEO1ywoAYVqRnNoVwbz
MeYpwR3TMA2zPGOMjV0V9S2k9uRL39o4qZZG7mUkiD+LWu0W0eVycjkOrEXLub6pCrkxczisdhq4
21AP9B1p1xpp73G2dQwnCVagaaMPHpKr3dggAfUmozwBU5jWrdnazwzdnJPRt8ygkjJOcO46WGsh
mu7BQLAQB9PMNgR48BqfCisHF+jCRVlpbkXWbSim7eiZzbbuR/eUppOrr/NhJFxcc2IgHJPTY7NP
jWs3gggzOK6mrYqgHU5ZLO3P9pzrl03Ydet5kJnvAHE9ptjy/AZA1UEU6ALyOA22riWSe5RkTzX9
uw+omp8koZIwOh1tV3tRc5ABJuPMY0QyRmxXac3whp/Q2kjCsFO99O2w91ErXOZUKCDjaNMFy6FE
WzZ0C0Qwjvj2sk3zgQ8bfaQD361cWH94Co1vsnfcI4W+52uOXPaxVrt7iQ93h/ROR8wrzc9F3YOj
gE9L4g9O29CksqSfpt0Qu9B50F3y6KjpbbxvNMv7Wuplha220Z4r1IHbrhT9zm6iKtp0dOXv3bmT
d4WzfE808nsKB/FhUYTm7aLTTBro0EDsaELojbQYeNtD1MvxmNbONNxMxojyVFQO+l2RPXqDjIEJ
B86Vrk8RCJbWvA36kD0gU2CXhFzkw6JgLwXUF6aa2CG7SbFgSIMY79IfhBhG6dBiyHBgcikVRAZ1
pPloKrDM5CrGDI5VTmClQs8QXmRco96CR0MgW3qRovFEa6yANQ5azJtQQWwsuja0BRTahoQpKDe4
kMNP4w/2jcWWcBeh6UjX8gcdB3s2pBwTycEpM8Hn/PlQ4P9Rb5vF1OjfzwYu+ul7/szdD18aG/hL
P6cD9l+8Gi3UUUI6rsN8FJXWT/2WooTTlWduhTrRUQKuf/Rb+l8GEy1UXzZkTg9n0j/TAY+ZFuMG
Rlf4jkgy/qPxFODVl/Mp3WD2wGRAacsgoDPEeDkcmCsZhWTNEcLXYgww+2nedCQIrMBXNl9r+H0A
W+iuRwnIQEYAdHJBC20SPcFzY7Dah3Rh7h4gR0KGL3Y2CewPbJDPsl263WIQ8mnSV195YfcU5/ZT
5QQPZWN9Xia6bjVVjSvjv01hf9TnAmJOBJbMiFTLozGrdVdcdJH0js4c3jqa+82y4p49vqoP01LD
Y4gihy48EgdAjDCFvLnhlBA815M3fu6MZoZVFsV30xjP6ypkALyECpxAMiSz/BmCScgrdEAIvykg
/fE9gZHQcly2bgieOCpz65p3gLcPbGDkXsNWHEZt4rddscPmfe8WwZeQQvqYivRDFMDa4x2sEQMk
h3qXyDk99hoTihSh+prA9S9I+T4I0hl3SCe+OtGUHWF/Jquc99RkBCc3muBbhaa7Lcr8WcajuYs7
dEc0dOotGwzhPi07q76YHXQvjnw1AxGUZSHIuFzqfCX3aexsAfA27nx08d1xmuhNEwL6pWobehlO
I55LDAfYLxpH7i2RN6coWdC/6qUAtuXcF0qdz+lmBjPXacyF9GSd0F9DNI4pYQZFm7vaxQjPnTc8
SOixxJnbuQkauHkefbTyt3RpJY1cr0UMSJkhYnGZqXCypWxoQ8SUcTVlxprokwdzFjhh0IDxh5og
eTX41hlqbkipqvfygeD3j/oQEHIFmYYQJ2ZAVddtU4NwlhEyx8hb5UoEMYlmECswlTlw2qOZEleb
90RYYlcJQO5GxvDYkQDmW6K+g6tCB64dLjuL/g1ZxOVGb3Ke3momQtPcSvUJEjd7ChTwPjAuZA2o
KUHWoZBbV8sQZH4biGd9Dm3e5Ql3ryq3laV/7m1YWSldYSOPcg635glC+bIKFYCB4O3nZqCWzIrl
WguLe/TD21SJ8MSkdatWPoLxCbZdYE/bWbo1QCNE+mUFI60R1Ke5ie18rPS9a0bOqgmsb+EoOe8V
46PdWhY2UnomUatY5JQsG/KLPiNa/FhFU3AntXrYx2Fibswo2rm4sPzZEkfRunsmlKiyAgI7SRuF
y8O3NLZxiewSwxLHUwKID7SPPPhDzWf0HiSdkkwNc8AJ9knP0KXp6KAP/bQfOvOgJ66792ZzV8F5
Znol8ke9a547G0qyQZ6tT1ohXYrIHGGh1jMYdfeL3odf3aG+Zy4lVoD7AXxkGD1aPtOKrDxvh9wd
6pjD58yG7KoCmrpeLG502TqntOdIjNZyuZgQ6R/bAqtfQZaDn0hiEU3lDiiNGK0I06yI7gpFlNBR
WaePHGmzbWzBF3Ta8Y5EgM9xPEKDJrDSpW+JWr3JfICGhHcZqNLYG8XOahG9l9Jd1l5eRyhFDdvd
ulp3JRvO2ngDyGOCQuXSy9vLGIABU74cHaTOGQtg7e3stPKjUxSuj9kjA5ucMQBZ2P19w5hPzGsO
nIoblpqNQTGLlpVIoS/3lGmMnE+iYFaUaIRwF0/WuEy3zAAPgVnRxMocEhFVLK636M5qZGjphfNz
E4zpTusW213LIPgGKwBuVsV/Y+eeOCnUQTWnLxEG3Srul/u+cJ6HIL/IYBcinUFxUCa1uUWo8JgR
NuajndwXqQerq9afgYqYu8yxSaTIkmAboH/KyCeC59rPp8TRCBVl0Mvy4fMYiOX2Qex8T5ueSWZG
G8g1h0tyMb+VCPFWCZooc2zLgxlioHCC0f0PapP/HcHCC1nD7nt59ZR/b8+1D/8nuvItCoo3Kpf4
+9eo+1603ff4pTNa/b2fxQsiBWwZlBoSbQObgU0d8rN4oQpxHOQLzHR+ah5+kTY4fwkKHUtHvuzi
0nf+EZ9bzl/I1MHB2sYPxTq11R+oz5XA/YVoG+snhRWFEpZt+6eG4lfRdq+PGLaxUawqXmUgb5CI
L8CmGeahuw26fhvKzLyKJFOmzlKzVSJ7fbOYU1/Xe/ujAw/b53zTXy4lY+Z0GdaiC58Je/jk5gzx
BMJOTjPy2oMx6KfIIpMOBssSrTT8Ko+pPeIAylxxSCtePC4He2hjiPc2FUhFwUILalQVeYl1MKt8
qwTOPeVZQKYp603LS3pGqXAOVcI2QR1or4rQLbZIwK1rvMiKMpa3fqJHN5qGf87VRxRmxgghQ0HO
OzKYtx6xCjtAVc6tVfeW/+c1/f+P68axoCmZ2JB54AmdMjmjvrWO/ud/ZU/Ft/9xaNU/2l9PAa/+
i/6lGYIdAE6C6v0n88LkEj8XluH9RRQUomk8zerRtrFc/MvVYet/sXhw+Xo20WIvRGvS+8t1iBtC
A0eJ/2Mp/MHCOj8TAGk0LHV95G8OCiW17n4xQ1hNWhvxgLlZlBO7eN+P+7azCYNvBpIvKVF+uV+v
uC9eu5xkdEqIGBsDS+Pl5Tob56H0osVPPCNiGO5Sw3ZZt2rIZ9zwTnR+vhD+LVOBe/ti21BfT0U6
mdLlbqF/fXk9RkcSEm5GcojGH7SFadLNWX+jZ9Psz1gVaKyVc3fwoizcemIxfhIA/u31z/VY6vrY
b/i6fAIAC2deEzrpseHCMPXtiMqr1nGEwYDOdm/f1fPNkasInRAaBpv46Xmcz74lZg1QXegzREWq
SSLaEjS1Xa1zPZ43b1/qlRsquByPDAR1l7isl5dqmH+4piKipnju9p2nLZtc1lSNc5ntjTjCOEZz
h848GAsT+cs739R47fqYZ5DZUbyyRM4EbhaQo6KWdFvqpWYTT+zMuLX5SCbpGCw2dN15s8MfkiQr
va6Sy9zCdqh+4x5GhUZMNGZLsydixErvlxHIELbqQY99YnXDmwUF2rc46J2vepXH7z2LPxIBf3VQ
qZ9JmLrAdMTds+XZ+TvxlqgnlJuHP6+8DeBNxFF9h1EjcbUbJjIukwntMigCw48iEj4gipG9bXsF
4V9ads26iffC7enDB4F2ePt3VY/I+WczPVxkNtwbXdpnn22CL1Ygllvo8ZN5OtZOtQt75NAM7TEE
UnVSSwYMusV0fPvCr+wI0CCkAatD9zx245cPFKq0gmh2c/GDyiGxkbiRQz2MM8Lu6Zs+tHdvX+23
lcJ30xH6siipZ2zz7Gu2pKh7WjpZ/gJUdVvg8YKFzNnVE0O5fvtSvy19dSmsZsjQVW10viiNwG5x
rizKVlzuQL0u1/1Q5+98H4qylz8bF6GjRM2G3Jg+pzLt/bJ9L8Sx0gQNVP5Vx1nX6GqyjppvnoRW
61RMnhf8UO9sAb/9Yuqals7V+IIOXsWX1wSA3uIwTaQ/gLO8GYkLuERyQsBF2oQKD9x+fPtG/gBu
vHg21QUl2xuhowLf3tmazxEQWDX9TZ+ZPF3YCuhak8NDgyACVGBOP7dDOOEMrrs7juPNPi9QDEAj
SN/ZzF//IDw8jsm3hkainq5f7ra0x3yeXM3y0SUu+z5p68sww4gzZrhIcgOqntZr3TZsM9AYcqoP
TTqqYx0v1bdvye8/u2HZ4OYNhMMYws5Xq00jPUJyJf2qBnNgx3qwQ9e4cS2O7V7MSDntRPje1vvb
FmFzUTT3SvYsaHCe/e52YdZzSqcSXx1Mi9QNcP3jJYKzqwJHkmhjjlaxCzX1GZBM6DnytZSm6NZE
hre2A2Qkw1jTbXPMKxNH34kpp+kTM9u988C8cnc8DjC0Yk1+JjqxL38mdE2FrVmW7vd9dmvb2fIh
NIP8Nqvsz2UX076sMzd655q/vZfodgJwYjLCzREchV5eE1FXGLhQnfwyRZc4gJwFWI02rGRX/Yh6
92sJL3LjuXWwDVGpvLPX/DDfvlwiXF7tNDwTNHids9eyLcqIdqbLzdVbh9vs1vcyR5Iz5Zbltxke
yTjTjE0MzN/HlJX7XWKVu1n3SBm0SV6RU0vsRQURoxl5kadl1W/wv3Urj46w//bD++qtcmxDLSDb
Ns8DXue5rOIMe5pPu9EDG601V0vZ0RpRgpC0jA81Aet5m6GwkulPMN+/rcdeeYZppfNY8L7haPrj
mPnLCnZiLzZoJ+p+17X9VRo0EYKLuUHWgfU2NJi/h7wIP04SXuLb3/r3Nw+/0C9XPls96JZ70dXA
EHocjxtUmNW6LwgW0or56e0rvfb485LD44xFxuRg8/JRrEtJGNbS6/6kK2FJg+SbiaKLT9OIdhKH
2DEQi/XOE/jaj/rrRc++HkBaryscLhq7JhEnVuXsi4C0Cd26sSvHYjBI+tkUDs5piao/LSFYe8AD
dZCCeB6Edbb2+t5pkzRgvZeVaZLRXTcXUteLQ1pYw7bQY/nOQ/TaTynJfLapWriwPFtsM8okkhdQ
jVk5jmQnDdJdkNrPsKS8d44vr7xx+GrqdMi0hgm4fXZ+0TRw3jTwdb/ICbGM05CwQOBTHF0swLUz
DNLaLp3d5A6FP+GRxGjZ47XTI/HOPVb+lbNKg0/C3MLWXebfnN5ePlX0gOhikKGCRKhtIEFVEhqG
466LIs02Tlm511pPZBfBLxahgTo4/ZlQ1Xhuo2sTwcDWEt10BOSvH95+2hX467cPhrGL311YVHYK
zffrSzmaeytOPBNVvAxBb0Ti0LgVuBVsqU2wYLqe8/EQiRjiM81REmiArXsNW2BhmOPm7Q/z2tKj
fYP3xqCYBrnw8rOIrLcjYxkgvDvGgI7ADhF2V/E+mTXnA3qO8DpQs+63L/ra0mMvRpRMg4xmnPrl
ftnT7H5AfDAYBuBaZFy1pZIoGetoHclu+BbiTSFH1L5gaLHedul7ZYH64c9fPQ4HMst0KAg9/ez+
uwjIesQ7OmL0wkZRalYXhq4htwIwwMAhizYyGybku5zRQmdsjp0ZTFf83xby3bzRr8yqQgqe2eh/
AegXnNre2ZteW6+ONPhwBH3bfNKXNyhP7YahARanhOjJNVHI8dbqkmnbys67fvu3eO1muKpZqi7G
HnG29wKKJJsV7hgPF/EuAwmo68zJunU9lKiJG9d+54H7/X0m2BcozBwWJXEfZ6XOyO4/p/RziZeJ
AjhjOjrRppgO2L/KlUAPR0jEOmuN8OHt7/n7bsB1VWXAHfU4t6nP9cszZwXCrpeSg6qcRXwbejps
HBIa33m2fn+yuQpEB4t4dmbgPwbav1xF1Fol4Y4Q1Me+f+NWINM9sweenlndAY6Oml5EOfHVwTd3
ct13tvnff0t1dWp9CjtqqvPfsh8SVMo69xbiNbYdpvd+lLrhfcbUxw9B+L+zjn/fPIRyltAeoZFj
88fLezoamfSIaIC6XFJMM4EkF3EpKqrsPPFjmYcgU2Jr/+c/JJ1HdZigIQfa5eVFYVM1eaIuCsll
vAyp2vw2zfo/XoFsDYbOoZG1wVvz7DHtQZG6bdEL3+OIsDEkERVzPfeHJHMX/+0v9PtiV5dylKFX
1QPnb0wzGeNA1HwhQj9mVD7VsJsWwiyYLf5xM5MXsxpx4MannBSO+kF/eTzbcOgjK5tRzunLsh0z
ePUYEf3Y7miAkaD4n9xEj54FbVr6zUI9r79cbrGJgR8kAUVMohOcEBxBhcc8XhBe8M6lXqk7GNqo
n8tWShbz/FkUpIThDh0E4jUCTcYA5myEtsifDHdGW59PcBo8h8CSsvJDLxwQ5aGx7yJE5++sinc/
yvmWqlW1lyP38lusmj4UGncd8vremh0ZQK5Gyiy50vaK1yOzHAoFv8oxjxlNI9+5Ka+tTyZjNOPp
uNA/OnuIUQOo2bSaI08i2bsIqyZxTd4B5jMDY+GgPIVvP8uv7UC82A2Qp+A8edJe/uJaaHRVR9OM
ZDzi5ZHpKm+Tm/h6Fd0FqRa/8zJ57QsiQJIeUzumaUqJ9OsD5mIFM0BhsN3OcXzAJRpsmGH1KFqK
DxI7FQcKMqze/oqvvcCooWmGYn6Wv7X/YttIC/pX6kUCskYDX3cUIhp2pWk1HxhOkMphRCr2h7TX
t6/86s2Fus/bBZgVA6CX37aOzN6SVSL8pCIdAtnXvMlHo/D7qIw2/JjvranXNiaml/QA0GFRp53t
tGM3JdaocXfJO00Qn/ZyG0sGe+R/inf2QPOVX5IDAxUBk1kaEueIKzPQBSiOmDXTatNl1dWHTsdM
bBJB4iNoaADAVNtsLg5eZpBQW+lEGwj3XncrjaoI+hxnHNgC4ahAjgz2I8MmrUJi2limZD+KLNjp
RLr7oADvSdQhNBZp4z28pegUV126BYoiViSTjbughI7eZh6zApU1q6EdIlI2cg45Ct2THJFYzJCk
VqFp9Nu3f+BXbjgUbYFTH8qwI86PacNQiHSZeLSiMSdDtRLtB7oc5Saqw+WdlWO8esP/udb5axQ0
rU6cpuAQ0poa9JcZpwumJDqWpNNNyUQKw9J228rULHQWJok4bZhtkyTNCIavIXPVJmxhSKzrASf8
idC9ns+JaeHtW/LKM88tsRkoclOkowjnv67wIBNNWoFD8cHHGEcyej82aZM+dAzP2N8X/Gz/wfVc
BZ/jaAZ37ex6jkO2zKgKOK8fAqKJMVm2gSe3TU/ksFWP6Tu/w6s/OZ1JAgSoZqj4X34/1FaIkOHP
+G1jhJfIuwCy0lTekIU+vbPGfmy+L889zKFsiWyTQhjsyFm5plnJSG4mHY+8ybuHJQoQ+JGwp91i
M1c5QWkU38CSdm68Tr8d02nAIpHGezPQvKs4q6tPlQGwqhbfk741LpvJg5uWt3CuSWXJsM4FXdSa
x6qavLUW4PWlJ9dtvFRvfG3ysL1zxIQmueQTU5ogqEYcSHYwEAOrFQtA17pyHvRuEssaTZQ8Blo9
OQiOQC6sxNKON5A7CczIcCcwZzL7uxrA7EA8RgZNhJqclKsli66zDAH8KguF/YS+gji0WZrG4I8S
VeLOQOEktxHeRPRIntG7KzmHJHZIJ+0+e0GW/k0UC1qFqQ+rXW3F3qMWme6jO3bjrUxEf+UU9vwp
B0Y8rNjGmm0F4lPwTu/EY86pJyPBB0EHG2YFZiLWku7LmNT1nT5LYzvWgr/WGpl1VZHz9dmbY+O2
66n1VuNC/m1gLZCUjWnGeGCb3bTOUXR+U8h8uARZEOhry7JYpi2Hjx2yVUt/59l/bUvgbKRzFgQo
+PtohhrC6euWViMTmX1a2J9q2EIbs68NH6Y0qnSm0+9c87XnH5UOyw05sc4FXj7/IXB0N5dc08yX
8VDw5K5MoAOEtqTtO8//q5dSlBHY6/QajbNqSNZ1gHyuo+kGp/ZYVHqrpP3lp2Xhx3l7FzFe27ao
sh2DphtnMufsVU1cZdH3FdE8MKhQ9XidPOl5JPZV6F2g1OuvQfcX60p3660HxWHTmDP+ARp/x5kC
cR3G2bipM3M5jAu05EDgPXr7E772W0uKcqUyoAviqS/wa2nutqgN50n3SUcufcVgWdP9xoPYdQ3g
tnS8GBLnneLwlY6cULIRnY2cuoKRzMuLjr1Fbs/QGn5hAk4kicnUNpk1N35UDNVXOO52ibkzSe+l
G/bE2uZTeD8k/4u5M2mSU0m37S/iGn0zeQOCINrslakjTTA1Rzg9OD2//i1Ut8xOhuJlWNXoDWpQ
Jh1BgLvj/n177+VOpKpjnSEKzEIOmPXVozZ1Wnnj7tYknIuykI6cjBKXRVqZS2f5/d0Vetc1wLrV
IMM9HW9arJcZEk05EeNsTO6pHzXtr4zTPLor3UAXoRBJeC8MA18EZb7kr5JokV+EihTnOMFF7set
qd4vk8x8TmLtF2Fa3hMWnYS8YzYquHNb53WqE/Nnb8zyfzNr/599gysjUKf/qCKQoRQBHuT9r7Fc
lqCyIHqjUBwndJL5a1vDssK4QwRca+n/+XjSdVpJSO6wYFO7en85PkPY0gsoemWrmtvcIafXwSJP
E03YjxkkAF8vmdYfD+IrM5rqKQ1dnTWLT9r65/8YxBLmaVOSFEhTEYC8qYPkXRCbrBbZ5salrhRt
OURR5lBRcTisIherh+M01UAurBYgickJUCAhIXL5dDhjp/kGnubAIdJt66F+DZbCPU2jWoYIidOv
Tkvc+Mc//EqZ6feJjkOdyWn3cpeStqMnSbdlo1h6DWsMMMmhEAtm1HLGkTSWp8FNCTAXYxLUVtrd
uPyfuhCbsaViC+GkvYqF9PcPfnRSS+8EBVxD2s5P/LbJywIJ4NSusl68fcZT1rmUtrNCvroutEXS
WmhZkcjiG2Rv+3VXTr6V2JxiWnW+sfheG/lM399yG+QMl0Nxmbw8SitqX/DVtF2tpncmjlddccWR
bJf5xgfs2mkfRRxxuLQ8eBOXi5pHYrzqztRUJnThAf0ynbjZpdklatFuAFXwBqgj+Q42doVSCN4p
E+KsHt/4uq3z+WJzh1BnFYxRb0F9cPFKdKsuYpMWQhCvMzzByeUn46DfKL5dGXgGJxS+akR1Ochg
3r94InAHrc1H0t9yW3uCizcHdQzgIyeGKERMBFpTHeShNJMYlzJC8v943FPNoAPPVkQHYnRxeTpF
AmJlawTLQFUuWjBelGrlBCnYtdAccivwnAErWt7gLnCUx4+vfm3Yr5UljmYYJFwkZe9/vcgBoCQ9
lbokWmw/b3L71KuDF8yuVoTd4M77tStAOXJyt24+5aHlYEiGYqGTOYlruKrzLDAS69mtx/rGo7ny
QecIQTb0Wt1mI3WxACfesJhVbOjB7NRDIBZde5RsTw5kfDAgDawz87LcqhBcuyhdFASQDH9KwBeL
4tTrSKFswgChXPdSZvdGXy5h4hjJPu8X5zR3t5p66794OczZ5rLmcT7TKHO/fwWp6YlhAh1CXdbw
UO6VaahjNwzGQjZn4QhjbS/2vm6IYrfMCqG4q2k38+S33EvHFRYubzz4K8uNYeGmQL6BcoOq1/s7
yosSJ1BT64ExJfKFeGyyd4b6ta2lvdOLXN5Yb6588zgOe3zuOBdTMr4oymQxBS8jL4ks0axim9ag
p7WevaTt9e6tZX79ty4fNnpdyjIects/4iEt5lsee8Sj0D4m5oQolw3x1asxVUuDecAFUo3tikhU
qFYXS3eohV3eWM2vDTF2ZOg2ecBILy6+8UlsEftKZlCweLBOFoKuIX2sZjBQtlJL8YGl1feP5/nV
S6JUWnUpTKjLuhex4NU0mROL3CK6+1JbuZwRedseKcoBopYZhPqIh+zjq15dXVhZVqEoCmDEqu8H
EsbDBAhqxEDKgGo3eVZvs6m3T000LzsX7JGfDZW7NWyTeN2oS91wQUi35gbJAMegt1VTYMuj4TQb
xeEFfXx714Y5X3sWPr78iNDN93fXETFgtoUwAnPWUIN4OUl0NdjsmQr/1kyJNv74etcOC6toDS+p
vuq9L/VJDIXWXDLAE7wF96Bl1AXsVMvCyK1I4TPqvxM7m7CRF/FDnVXtISpYEOrBLe/KySKNmoBF
dofj4ePbujb9aDE4ME/pM9D5ev8YiA8CBtonyDERLS4RQFS0cys4zihvPPBro5D9HSJTB10MevD3
V4LekyQJWr2gUWLnTJIe/KB4cXYdNvOg6Sz1FBvJLc3PtYui5KFXs2qzzMvve4pEGaN3ZwaKWY5b
ssB2SyczrBzQdcla/oRE6dN//kDXfCuWcgct+GVRatKGnAj9lKjo2CG8ozHpd7cNztSWXIGPL3VF
c8aOhV4bvDZaInS93z/SxBAx+S6jQV1LNb7a8ZDsLdU79URYkJ/Ts7AVXrIFnuPupENY8kTx+FwS
qIkRuO9OZpovaLRX/jwb2225aDmiX2rTcyVuLL3X9llsKFHgeyoL/eVGJ43bOMvajvglgFa0xeNv
Za/Jo5BgiaIhw71rLaCqKqFtEcfpN66+PofLdR+xLBZvVn+TDND3z6mszBKIPKDsmDjrMO9Yc/tW
HZ6nvq13VBfVO7VIP2Funv+L2eVxtmII0lihafj+wmKk2GVFORcWFkUR1QVOPpFZycGh+28u5UIh
4WyMzP0yd9YksUTg7EVrGJXkh6hDgTtXn7duU3Tbj8fd797jH8/To7jLL8L3cLmyC5e8SX2irgha
uL0HT0ZIBZndW0/Rvgu3bO4m4aVHOJA/6KiRWGZb88ZavIlcFx1dIUmSlaLuPMIRN3pp4CFg3dVy
ia16zeGYyWw/xXwudrEN96wSEdw8pTFv/IprS4OHQA8rD4uS+bt88o/D9iyVfInTwVz77hPRRQXy
2dIEhuE0ctPH7bDmVWi3puyVLQgi1VUkRYVwVcy9HxGGMvdZ2Y48ugZ0aMbK5RcRmpHJqZJA0lAl
vs18A4wW7ypSvU5DVWk3ZsO60F68PRYnC5AvGt01l/v9LRAqo0eZw0iplbFFkAQFrHadL8lUJOeP
B4p29deucGCVRtja5nt/KSq73pQS8Blo8YD2tqNJX1vTrwz0CUn+Vbdz+qnfqAXGdsNWlM1EesON
eXGt0MHRnmKKShgXS8/FNsQyUX+rEe8ZM0d2QIhjbADIAx4ho2rP6HMxPDdJaINdOVc4wdcoMQ+1
HyEmRRIbN7Z/129nHXMuSRCrbPL9I6mKWWBo5MwMn63eGJ2Du0OrlNVJbAUl+wDfGoYlhLNOfBU1
10NuGHJTw5LazHxbb7yhK7sgNAYqH2S+IdzPxd0k2hIpHZHaJFC5/WnRWKCWuVLuLEKItmml3RBn
XRt6iFDWVhTWAAwMFz9e5JYVx3AUFDqnvqsr2SEVHkdKagA3HvTVS9FmW7ttOpP84pe1sUPGhS7N
QBIr4VcEb5wcayDOslFuDbH1ri8n1GoR/Pel1of8j5WkHPOZ/hATKq084RMfrW71dmxu7J9+1/P/
uMxakfktegEA8/4yjhs5rTuyVZvLuftmUwjaoPghyBdJ4KEdMlZJTSsPamyUBA/MZJEqlJqBOMht
2+WEEfQkxN6Y4Osp/I97Ytw4NNWphF96h0jRaJtp/cDBebIR/qIcFEZNyUCXTUjylfwBDcIkf61c
7oCyVAcBZHiXjp2+/fhOrg1k6vm/AdH4KC9Xc2vG7yWrdVql9UhPrknvOFETpF2iEqlEZt3azq8L
9R+/nGP7Gg6jsbO8WFZqw4qsZsJcVKuPppFDby0nknpHa9evkMWqK5bcbyySRUmDaO5GKbwwmdrs
TYCnvDGtrv54nDkIRn63Iy5W9DqprHx1VQd0Q5ONF9nLrs2bJgDzUhGM7BAo/vHTvvLtpA1E42M1
EKwn6fdDEWyzlXdNwyFWCrKmRzvxSY0GKVNVX6gOAt4SwK4+vua1Cf1bgK1REWQ4XUxomFhV3VaD
EahGHB+LvCQCpSHd3EmaW1/p39+ly5eLzYkVmtlKKfTiWo5JEqWiSUSGVIG3Kq4jWsLttGX9kv5Q
xuSZV9SovYzczGpmv5r3hbZBAq+EUlFBRLRkI+qZ5hytrq4PZdkUZ9fEAIndfA6J+VKwzFtkiZt6
uR+FNRMNMRqb2STjsbEKsSknommE4jQPRL/0oUhKHa2Kc6vIdmVjbNLewH29dkn/OJMtplumvbkY
CB6LJNApNQe6EPauocAU1JCXdnom5oMkt/fGanZtyLIXx4pKVgfKsIsRhG3Jc6UpTISlTrvrCZB7
jG2l8nudiAtKGOp/MUVIcCL/gxYhzeCL62UE3ya62bA+tA7R8Mlkk98do++sI82vEsPefzxarz3Z
f17vYkoatbpA5WRKVmU/+d0gja1UxBkxDskj5pjd99KAO6bN8v7jC69nmcuhu9bS+J+DDenyxCss
wGSFigADfXD2y7VKF0gyO1p3mcdX2rXZXcFo2iSNE4djCkb348tf6xRjgKZsb0HT+NNvTXSRUmSc
HIIl7T2ftMLkS8Q2/Fjl3nQQpTtuulbv9sVkRuFodvq+wU3xLZmRnTmlPHt9TKLQ2DqbcZT5/ZBk
5Y03c/UOV5ctZyWK/jym94tXqqWM+TU0eiGeb28P5U9jajgoOVa7a1YBfO24ow/EqECTNumh29F7
wFytnlvdlv44O+ndSLjLPdHj7XZgo/1y4xle+6o67MdoSUCyUS91jlqrNJrDVWmuKIDCpyU3t1Wh
/wTYPIejJDcH8Yf7OY8zOzQUysDweHLis4S88VW9NpgwfHp0/lUWw8t10Mo6AmUsnGGmxrG9QyoI
qTAzD0Cy4qPd2/YOENeXhR1kmMwT3cOPH8S1Jf+fl7/YWBXCknPsIaKbptZ8jahSYGyhfOazt3z9
+FK/xYaX8wZ/0O+1QVURJL4fFcmQqp4lKoRZWawH4woL7kcVw7VpVYce98ozsaXtmfyjkn1OOhOY
XopD7fLVm0rSzznN/Cz09MXjOHlEq0keqzY5f7EvRK5bKtY9LaD5m0IouN+kgCMKk0x5uO3dWfSL
9kUtIXRqZZuziXTYTFhZtZu8AdWOHsMQoTsaEpbghk1ZGGeLVvTR6qFD9DmBagBDxxtnxN/ttcvH
4VKlxuiP7uMP4SvPwiy1Hq0kH6v+CVJCEmDcc5AAx9GGUADjPNS9c4QW39ylw1ITFl+PpyXpABkb
5vJQOcQh014iUrlxnKCv++UNUqP+EPd1uTPslJz0JJ3/XjIktdbg3GqsXBs6mEBIvmFfhOj4YrNM
LWrU9MIlMC3i1udCyB1662xHy0Pe+LSs68Ufj4reMR5pZI6YpN+PHMskWqsf6KLNRZaF9HhgxqR9
cU/kJTG7U18GM37du4/H69XfxwqhUQF0dPJq3l+UqIJCM3u6NBa8mNAYrOJtHJ1vGnKxG0fEa1dC
drG+0xVze3mG1wqHA5TClaQcuwOa9WMEPecxc4xbe4KrV6LPTScUsRnCrfe/CbNLg0+XhXns8vqg
F6TF4eSKtrozKjfG99VLAa2gM0GllrXt/aWWhnIdQjremVkhv7MbMmdbtkCJcJsbJ4UrwwOPDj1W
3BBYw9ZUp3+eDovZosoZ0QaRbdwdOnCqO0ur5AaJKt7rjIbqrNxsdV35fRa9Jco8TH5sOxeP0jNb
0o1A8gT26HrbOjZz1FjW5Ju5d6u0e60aSHOHDh6aFY7B7sXK2RIy4kUznZTBk+VuthFVJmhHtqpQ
7TslMeR2wg8eKoocv6aihPzorlkFrsgCrCrtDnw9RWAvRs5IVEjAV9sKl0Zxz84Qq8/kR+tIo43q
75q8qNOSR/AMhireJW399eM5dW1ngB6G1hztT9P7ozaj1aCYfistcB1VZBoSBFUrbXyWuYyPw8pc
1vu09B1y2MIG0svOntTsTER4tYlqMjoJjQIQU4zGXTuUK0XOrt4+vsV1XF6sNcBbqWSjXgda5q0f
7H+UGqhkaavRFln5jITadCZ5TIUa/edT/h9X+WMiukOSjmrF7OgroRyFyNONSb7AHrjqLXPJlR0G
44aG85pkwYi9OEbnI9W2jvM8kgdr5Rhnw65tyDFvcaNtE1uPntjPps9eadQH9LjFjcl5ZZ5QTaHv
jPhh1RlcjF21nxnXMyEIk5QJPzdJj4vZ/VBG2e4+fnNXr8S2nMwo+m1kSr1/c1pnoCFZVTyiigE2
GM64k71Y052N8V/bpjX1Lv67evzXePgXOfxHVc8yiUV38X//z4f5wP8/5udZ+j+e5x9kyrsq/wkX
8J+BXxi+/p2cZ5Dgy1kH1SeL2OpX/He+l24D/ltdVOznGF2/7cD/m+9luv+zTnHmOqVwtMGrQ+Pf
TEDrf1imKY/DDmZkrPby/yDfi27c5aylQ0ermZeOehGV0WXZEwGXIZtVOaXaw2kYlWLcmjAXntKs
QdExDlqjAFshG5tCpq+mDjERWT9sHPgbDxm273QPRlZtQ9knbkXuh+DYZM3R9Ix6+wgNNg0Vd/hp
SIhGXZc2odoKwEBOTP5nO1lvqkayaSXrk17PCtjA0dsRLpw+L0NpBojO7yxb8XZ5FrdHtXWhIhXK
L3KspjvNnl/stv5JBX8wQuLHKa2VKN9HX2v7QSNJtlnMo6DA5QtT71+XqojvTStqAyc2RvXRSioQ
LtT+k4xovUgnwbMZle5HNSSq+JTRbxQh/Wd7n5FrsrGMCWpYMX4F9OVyZtYJCvYXTdcKCj0kFIXa
4Kl7Ikqn2i/5Zm702OLLkSxIjaVdzXeD3rx1c6Gw1dPn6JmaAmvkMFkYqCilmH6ZTMlBg6gV+XbK
0c3KGri5bfeqI2X+jETXPE92C/xr9DT+EE0kppjSy/m1GOl7AwlvmcmUF/Ytz2Yr8WWlwv1BsvmQ
D6syxpkie0uYfPTQiqL+7kJ7AwO2Zq3WtrkHmBM9wHQWw1HGnkU8CKlFe2o8hbIVTjR9on1mPbVm
DqKjsyzth0qyK0oIXo5vKk17jDrTIKE409NtrnpgLciK679ZhZOfRatYx8GMTQVKCTWq3DPTbePW
A5BeSZG9J6I1kbL8Ch6JqLA403CmyzUr2Vas09BlFuHEUnnostruD3zPhxOYR0sGSEdfo/XmOext
urgl3RHCZbOVJLA8z94ji1kMm6FENZZ1VvpVp767yccUy3Om32XDNAMlQM56blMv2U+DzCiTcVyZ
F5M3rkxJYJaF7ceADfcD09HXVVAETZv1ftQmXtjJqfXNvprDtuhPU+V+jm341zkYeX8mXYOy6xgq
oIpDi1p/3Mx3NrQb4o2RjnAGCUZsGTuPuC4iJUuOsK6zKUEpS7AJ5gzD0m31cdMoNmwc/cmeUCYw
vJCB6oaPOi7dop3W4DmXg6+oSxRY5fIFABKKuYrRIBb2ADXf6gDPf4hUd6Qir9vhEC1FgAwf40Wt
JgfisM8j4BIvexrz0joAYC8gsYG9MFZuRxl13dFtzHhrG71y7DgUogr3Xiwxyx0n3cbvOOaBCZi6
vTXlb1o3bCic0Lr3tBwNnkmjSJEk2hfK7A9dW8fBZK9YoRxXqMOP4CXPJ8WtHtoZSNsUUYWKXL8a
ujGkxkv8moS1RWSQkr9yek1eyZ9JDqOZBtmgvTq4289DA1C+dCsmhNQHP3esjjp/8mtJl2Ij3fH7
Ujt2mA/yFbgpqQ+N8zQ74q/YG/K7qukYIQWCWRQXZCX10/QkkI0/ls08H3CrEEKMIiHBIf29G9Jl
BxiUJG9FkthZK92enaD65hQGMxCzy6tEmzgAjXY2etokm5bp9suKSnXFu2jgw/ph0vdFrFZjYGdp
uSG5eQgpHAPsjpL7ZWGqwwSyoswnHdwUWxQB+eu81DqqduQAdKVAez6QlRB0WnYGVhud7XmERt8W
1pZ99G4yimxj9PrTMijLk7IQQg687O9+rKtjLqxxr2iJvctVW1H9WbdrPBLOfK/hgPhmRBryJxik
eZ2Lje7U7rbXq766S0ZYbH7JgH+zanuhCKDk2UvnJFODyHbKDRYeIw7TArqHgaRkCyE+fWKg6LW/
dPoXU53dQ8Xg3k4oTp6KtgWIUXQ1AO5c1m+1kkcslILjQohT1nO3BSV8+m8Em6864tafnFxTt6NE
WDwuee7XzI0QvqF2AH8ECmOZ0GiJeY3JzitAs11rf4sRHIRLTW1KF+CWnLX5Rcia7i9OFUECg5An
tq2l9SQwkFxCQLFX7NShBls+TOzrMkxLQ+bo99iL6zNYknYjyPB+jgfFPAOqQXyussjVeLnOMBtl
EEtOvNAzFOM5EajQQTMmphV0g5N8tefFeWim3gtVq8juYiuLNk7OaGMa3rWZ/GucD+hpWfVsuTe0
cisqO7mrbfux6psKaQZ/NyIT6ZQpev7gjoA4FBlJuTGqKQvybImQMZhF4Pa2HuhxandhyVjtKBfK
plM+l1HMTlltq8c81qxQS+focWlZzxKj3CIE5ORAsrlhV+ekYaOLW+ahGKZ8K03a730N53MArjiM
gZrnfO4UJbAsPd7Ogr75DDrujKU+DTHhwKbHr0irrzsSdBE/R5QkHcd6Sab4e+LOuLSGQdm3jid3
REqRCL1YSEHknHr5Fp3po2cw9GZR39uu84jTvT4iOOgO/aSYL+iMf7WZBudIq861MlQ/yLcBy45G
YNOn9447iV1TZfbeYuQ9Nwo/2odo8lJiX/MXyF7nuCwVTtI6UEg7Lc6OUamPJNOnR9ea+kOe8+D1
Im4e0rKoHwkE5d7bQvuuuQ1dujIaQrWq/MZLzbvE8T555Vx90bVG7KmkMx57/U0qBMqYVc33i/KR
DqDAYkqIaN9n7cLaUjdPDfyIFzhf8ds8tb/QtqEyGcduM1VjdJ/UGZwqmAl+U/QjJU37Gf3t+k/2
Yk/7INnZXWFs3VTm34dVZVxPijw23aiS69K2d6UlzkYxIhpQ63lDxvs3ocj6RVWH9CXLxvpka5XB
vC+XA7hVtktaOt4ZVl9seR5WSIbylzxhHvCSyCYuZ40le9Ldc2TWtV+rBPSAFjrTkVf4htnewQbu
cqjmJf/RjroJgWtWfbBYr3XlvKVxGebSGI+DJjVmmlc+OkM0bZNu5YCJ0nkdR298gK7pPsB6eNVc
nHekbQTChEOg8Fl/VuYI5lQ8VPtK9aqTZFl5cUH8nZaaZPukijHy60DfCKRcnORLY5h0Fjpmh7VL
5qQ+gXopX7pOUbakoFjwlejcnWotwYOFzm4E+FOSxmzbVf4ts1RBGpv0vi3Sq/7SRjW5c/XFHQ80
p4etYuTLt3EwMhcUbdt/LdrYeranhcnXTdVbUVjm49zTr7CF1R4pfrwCTbD2Bl/zE0UeqASTUJ+8
RiMXum6F+NTDf/uCSn34lU1xua27FkAMgB7AeARQ3i990ewXdxp/1Vo5PA9aScR9Q9Yz7tB5K/jj
nwXuwSOBIeLXEtt/p0UfbWh1Qp5DnhPGM6VbNR7t586wuq3Dyr8xnbqag2FEvqzPJm6hvFL0/WwO
vUEaoavcdYK+YWDnlvMpzdcXno4sgqpBWuFsluQ5tp4XluA4ia+wODL4kZKmh8hygf91lnF0WnE/
Jb3c2y4ro+JhrTOqDlHNkBn3C9mgPzK7trgjkPJlt7S/mCNl52PEFCEdH4BYHdL3oy2nzxP5+mDA
s787i7W5yg37rWsGeWL81Y+j231PKb8cppjtQko1Z6PodoV0E3YFm8X+tYaKERL48MVBNkcF2uth
jg7o3NzXeABzZaoHVFdHy0Zf41ZOtBM6WjvUpkG5ZOdirV3Hs9p+Qpj30nTVxq7EHd87v4OrpbY9
HCJl2fRLe+/mbgWlpHN2Mf4Jf8F/tZvK9rF01R560PKtchXcvC3MxQ5CYK1D5rVkEQUme8rNqKqg
JHRtC+aN/bXubFuzQ9wjd2xBkkPZDncyNepd2g7toRJmdmQcFxCLjXHfDEqy0fj7JwUYJDufXAuV
ec0nUB33ScR5uZ0jTwkLQGN3pOCQ/pl4bQjQ0tsniI2CRIKqtCaNRU5Mb9ZYlvR/OVRM2XBWXLZ0
YtF+ZBOqDFzDT4BOS/L+5347TUCh7HxrTJgmVWsOVXYbQOjQzTkiO2Zt9EtL62MjQC9HHCI2ygxL
XSxNdJhHjQxbL5ZBkQ35scvaDG135B37eozDLE2UAD1dTijpGmujw2fLnRHVqKYclYnxbRC8vh8I
vTnHFXl8iGoHOFTyuyZQcWhQ+KzMaLfSKge6xWN2bnrke51MYTwyn1v2DXAf5278pmoa0b+KYjyw
En8uu0a+ELsc7fROZ6c1Q2FzZnO/LNUU8Jf4oKMnYObk5bnmqOdLryuOcZwQxA7pRTrTY9+63r4a
zU+oGjVGtLeXwEIrkoRHdzqQ/i4ArRApRev6DfXB1jMU+wyWhlhQcwBISLiFL+MY/rMljIM0pjYc
F4UFtEKuYAmiXGqv/K40dsdTVhIiRkr3TLE/enDd+YtLVvBeZXkGmQA/3NjyyVeEIMpatvukNbqQ
0xI9y8modoR2Y9szSN1StCWUptrsJ7b8gdQ9uYcR+ApRg0iPRhn3HokErifEa65k+VcvviMEmOFS
U7XlShCyywzSS2e3+iZKRQfPL3rmGz+Es9mctZF/uK0xwujR3ot5JZi9/cFRtk1f8UrLV6uhN9jB
omCP0uwrkCJbdezDSXrhaPP3OFrvciObQ5kZb3maaky/MTvAquhPJIxCT++sEkAbpKGOHYZDpG0G
jn5yMKlkjtgCZy7DWACtK7z8UxkrIE/Z5kdFtJdDGwGE6SD4lGW31SCGJGPaBsro5gFO8yxoZj2n
KNyLHZ3ixZ9Mbp41/0D4yMYAX07bGvIyydDWfoH47k8puaG6Vj6SKYCbe+mdvSCVZj+nbbQnJQBb
MSXmrT5Xa+IXe+VlC9puPqRTRk8qTbrVv/5zEsZja4ZFa6ePsQUqdQQGtkea/JesNWVjFMbXht8W
5FpmByNLw9kriA3+e+Ss6isGQvxZ1w5eCrAWfjab678ym2w1u/iapXW1X/RqP+YjlRyS+NTS/okO
6Kvi6AP/CSdhvehfM3Dzm4ozRIY6YLbuxp40Atf+jCX3e0S3c0ufLw9yyz51oBXw+0x3I7WejSco
rNsz8HE9tThxy+VADDjb1DqVG77oBGQJdTqleInDIW+AzOpuvZnBp/hK33fwmEgXoJk5A62T9Wbp
sSJwri1OQkV12lvdU2cTO5V2w722dF8cHa6h14wvU1TCo3PX8Bk0koTbghlXgTKSE9purMF94u20
IU8BdiN1k15k8ZZQqcNiW9uMhtLe0TqyR3qU3i1FMLYTQtuLqoLB5swdp1h7+IsZcZ/E4NjgunY6
AN9R9xZ2lLWxqdmnUq4hVjkaSqTCRQvp5831siwYBlIUdOpWrHiLpEcNHjCybOIWAHuqDTnW4HwV
v9GL6qQVaFsUobCdaSUHFTttwazEngkTOcV014KgbdztnGaSGMfmcRDtQ1GPD3Hec+rju4lhhTpA
MZL04IxH1ps4cMbpd7nuhOSfGdDbSL1YfsnC/5QY+p2gXuPbFjVehZqfv5C3RT6T5m61uTL3pATU
G30onsvCXN0v1aaFPm3WY7aHqfjgeTV+09atv9c6QeTGUCf3U52KvaKkvxKHQ2xPat+hWcD9edZC
jQJuxWbCeOQbM0tmiRzWL6by6yBGjhopjy7pTOWoQf49gjMH8dsqPzRVY61aW2BOJYBR1dCCk0ov
dghTdDDwC3HuttZuUwOKVJ9000O0qB5eNb1ZDx3ZHdv49URqvDByn1y3D+cs6u5AgiqUPuJhS+gF
j2ZKUbpq+icMNndjbm+jyvoBrmNnpcpzwYl833TJszW2lB7V/FmKzjjp+XyYi/jJrUrV1wo4vZ2E
MBK/EY/5Uy1IuNHyyggk4ZwbQkB7v9ClFzQ6y6Heu9nBjp6wPBTsUid2UUXxpJeSu2GVAEeAoAD9
uRCu7xkdMfWpe2f2+XZMHLDgdQlhsPgUSxuupcutjGCNgpwzQtabO2+YPg9eo/p1T7bwVALDljEU
HQe5nXDyBxLiCeVpAEUnZg8rZTIfDJEenS5+dcZht6xwEbuMH3MBgshcbJWYAu9XGUNGFhhiMtGw
vRi+UK3dwxR6WHApqLHiBEr1d1aM31qnRyEuoQupsQqmZEif3US8pIv73WwddVdUM/EM9Db3pMB6
YT/E33IjD0fBU0D+dJQSYFQKY2wwB536XcZBRoBgKNT4qU0yPp+u8gV8+Vfc6Y8Up5HPOnkSDHEf
FpqCMTSGFieKDUkgT0o3vFGWQKxQ19KfyqTwTTtmVtsQfnWY0pt8yaJdNpcPeKpQuH+eq+qXxKRA
hQBpZiSKR8IRkw0bu/xR92wlNDRCTYRJtWXBUEyVuPfVud0RV1yEdht7oT1rnDHY4Qk5+7EiT2rS
3fV5mvha1vw96d1bLNtwSvVvNOPRV5AIDUSDFGUrcfaSakxgUAjDSF5gM8+LZTPM7kOeTF9pAnwX
1VT4RsaOEVPgj8GpwXhOSx2AGe7YbLPFBP6UbYCoDZtSJ2Xczl0fsedhJAWCT37/lMdAxoTaxNtq
BX7nafeSU2rZeCWpR/Ns977SpYxQFfDmpFEYjowUFmqE8I1A21dlVL9mJpupaEqMT7lRv3Fs8wKG
msN9pfdNpbxUi/m168ofDrFrseZhijcgbWpzMvgZBRnESzoSRcP5iWpz9N2uhrcu0lCOxYM9dzkJ
wIxbStYJsvPySeE/3MzWCJlD6gfo9ccSMcaGvkK9Gbgc4bI4zEdzIk18nrWtITOLvXqmboxFiYNl
dlF+KhHjplF+mlGFt4ecRKJGkfVjIeNnVWm7GUrKKULvPme6yVbA4GAekZpXU22wuZqS8FXLc3cf
M+l8CFv6Jh7np1zSv25KdUeJ6QVTSxrUSBih3kcdSOsV1j4TFjDWyi+0Jgelyf4G7crnRHuMpuwg
nf4bdp9xoy/GW+Lo1cY0xMNM+xYd3r6fuhPSisJf1vyrvOM5UtzuHzKA9ntkHhMf71QNi6EvAqcQ
cyhU+ugeFayNQwwuiDo+ps6UPVOz8FXiysj2JmNW2m+pyE/EeX3ndD3imT8P07ATnnzEhvY6ZbN5
Ggb0RUkVHSc22GRsz1ryQ6vTo7CGv/qYt4UaTvc+u0X/lVB/+63oZBU4zuIcNZVvUfV/2TuP3Uiu
bF2/ysGZRyG8GZxJ2LTMpEuaSYCmGN77ePr7ZUmtLkm3W0fAnTRwgRLEKjKZkWH2Xutfv1HDbd+Q
mqF2RLfhvZsFmbjUUI1Vxe2MciOZazD3+gV7y/e+ly5Z2sUbZkwuZ8skWp1yoPpuUmfVcc58AwW3
3C6vfduxX6TyM60kecWzrLlCs5o2IFeGvR+SIm59dLPKrtPrj5qt0RWNbNiRlc0BYNqxVZtJtmk1
tI0uTacJoO8tvYK+TdHeLoMAPp8/mJNyi8PZs4YG264zofJksWdQUVMOkT78GYt9cwxHgeswvJpV
NTomI29bNMPKMeIw8+JEi7mAi+7PqwmdVlDbPfD6fs6tPWKTQ6makpMY60u1kg+OJ7tlVwa7Y2EU
+P0UQvPdWKd5sbEd91vCpqBtpHYXZrfz0DObUSVbGqKHKlTPuCif55SFWspm3KtESE/TuikL7dRX
ysr+ShBiJ9aqk4/6AmOxLzYmJQfUny6hSKJW0ybpdhxQ/RXkQCtTnLpD0rlaSNkkEp9ppzVJb9BR
FaL4kOSKZmfdxeAV4NxTBe+3e/8xMf1bY+Fj8tGSxfzV/zFSjdnyb7Pk/8DhMcPbfx2+dqzKt4/q
97NjXvBLOJTxjfsC4Suifx1uFkzHfwyP+Q6MACSxjIF/jIjhLvxjeKx8wxIG+gUsTcz94Ij/c3jM
t2SkXXgWqCyxwEN/Z3hs/eAF/MT4wF9IJrwIiRpW/KjU5D8weYwYACAcl5Ey9hbcN3KH/a3mLs7q
x07qjpsjG/4glnZ0bzribvJKl6InME7r4q8svdNi7y/RiOyucgIl6L0Reefz3No7WOWFm/rT87Jh
dOj1uynaaPoOh0+q2u7m0nmdXWxQRXtXYfYB1268jLxC38jFRVw2haPUuBfZlUNoeHEctbs6sUcO
jCBYf4TZ481+ONnRq+YOzu3AUdwODpC+mwfxVvfiIHFxI9rHt8rk6Mth2Cek09uXwY4P4o18m29F
Pg79ny/v6gPOA0Htai97wc35JYIrPqmbdpd78nvih96wuSB+uVdsxb6+A42nccrYMg+hryReYtji
3fgiHwdnsG9DB83bSccjzb7sbi8Xyz7ur39ZnPaQbzvvVXVg7dntoT0Ayu0ypKL2ngLJfvYfHiL7
fXbrA+4AXnFX8Y/ZBcmLTfA4SPteDICVuRwJoZWWPVxivwRH4Hcb9mtiP3Cu7HTbuz3/NrvGh2UL
tu6wEL63L4qb3fVuZZcHQixvFit1kkeJgNeE1jVIyQoeoolRPevIbfOxBuK23vTod8mAsisFA0tb
43UH7TY5R04ddJvBlk49itqo8+LCk0/McIZuxx/dPE3GuX1e/dw13eSArYkfX2ZvsTVXf813TWkr
NbW1ywyfOmA6N26enxMojZi/3Nbv6sQAxh6+1ye4wOp3zW9uhwDjRLf/oLjCGmpfJlw2Rdu+ziXD
AUfCKp9rTY2yfh+Pmi1kgWKnXUAn+VTSPLB9Pip8Gk7ccXRC2WtfgR1zN4u3RFzG2zMs25cW6vjX
QHzlgMusnfqR1+/FreIqh/ZleZ2YXzEJYKpb2VazidUUK1g2LVeaAtJOjEMneuP4hFuIlt9Yt6kt
uHVgPtXH+CAflfv2MAXDo26chXfrvSIVQzQTh0BNahy+EHfZTewKp4q/p8JxmjzRaTMGUrao+TCe
RbQ+md0iG6Q7r4PpYGypzFbNIV1NxUqFgYd0VLotzUCi28MXU00KNFJeST+qH4a3OLW1Q38Cp2ur
7bTs0NJW8UZxw118TrfpAU7H8BXe8ivddyxu7fP5sOP4G0e8b1yBJaCCKkHR+UwNWT8wp1YYAdFq
f+mv+pHmPgAjNAkQdgRP2WU+1pj2NT4awP6j49WmKwUuSE7sFE5Y+dEtvWBPizK5wmDPz9x1jWYn
T9I5o9l/cZkwh/fiR+rbxOzaYzBs1OOoOOSzEnz6wQez7NKP/cE/L1gj206U7UWui2yrFKVudKOc
wkfBz9zrEywqj8sTJMBOtLt3jovaFQu5Z411w3DGZyaE52g/f+qm13wX3oGEKQLoOzvFb+aNFpTR
U0MRuTzIiittlmPpq46/eIs3giJvV/dU+9r+XbCZ2TAb36ef2Y2+w4JVf4OSYmffw5JTIk6O+ZK/
gxK0G/nlHB2tNyVxwJLTs3ynnBOLkGRCb1/WZds70q1ylF/MQ413RlTZ02B/iFtpPZonb3WMwHwO
beFYHJjO2/W7fN4qdwFmJjfxl3JjnkeHQd69srtpttB5fMYQYnRnZFvGjuoFe0ItaG+uLf8mc1mW
vbe3eAOuY21F+z7eVOcdhrXOk1fbsX2zuJ5GuLX3wSTSxdjtUz7wlU0axnP59qKwmIPSl/bi997g
Tn78BuhuU8rZkjN7s5dvNGf1psON7EvODfXwpYtd9bTu+Ah2MjrFtjoMLllGp2or8iOkbdq1PTo6
rB7b4mfgCuEWdKPtJpcD4s/TQXJyO4cy2dBRb9XSyY76S7ZVw13/pWk2X+ZfL0bw4yhu+gtNHChO
QH70xfAG1sXRZqbfHZrD5DPgxJ8OadRXKu86t4R909pY1Prw5gf+13vFli8PVjBiU6exVfU7QbPD
U1648GYk5Hf+4PIaMN8g13whd1fTmbk9xaP6ETFxrDVf8aKzFrwIR4nPQJ5SbIMOxwF3pWsEkle5
b8rbY2qnu3tn8yVsy8GV9/re9B9vypVW0oE+ob1pDl0G+6ZxlG4QXy7nhFM0+MjuXCW4/td7wq2B
/+kreyyHbwQ0fNFD+ZYVTmcF3YGDMp+JWr6ZDgz/dXoROz5azesSOsInrbfRu3oEjnAKvVvLZb6E
L1UAhWOMNmrNPqe95ByyUNsKNazp18JGGTeWK/U4a1Y73frVHv9vFZAPTI6q4t9Wj/9Jqb1Xh6d/
Uzi+5f3vOYfXn/+lbpTUbxqzLcyrKfNwdDEh/f0aKqp+gzSIWoayEK8X1Ki/1Y2K/u2q/b9qEq78
dhJKfqsbFe2bCbMX1RSDfVhVCFT+BunwRwX6M1OYQtEizwPeuYnhBVkYf6Cdi1NUCFFG3LmmsNzD
DJExHRg0RpjgFGUNHLi89YpylvI3uDjm8DhUQU8zpC/xrTikgQJmN6cHkDav6+4n+DJVt2nFC7Xq
BowEtpHkRU3ltCnZ3evGlG5XuXd07Xmtjzrsk+tbT/WDPAfwaJxxL9QfWOhaJKAsm+hRn2/FPDBa
7jW3AAKI5xJqPFBibVcy1K8qdCvQ9CYP2FN1wII8bncV/2QQIqonW7MomKcwOgVlSdrv13wGZte2
2J3riImX+l2tzjoIc8LcaYRFl9Vf68QqYT0vV0CkaN6xdzxht7Bl7myrGanh0abVlGMmFn4iAGcV
z2b2buBewRAcjSm4BCuTDrgnhQ4Rhl4L1ULMPuS6PlTaPeTGIB7fGP9c8Pr05nDytYUhuzJVmyK8
WGPpS3XkF1W8jxq2W8g80ixtQQM5iQyPyKrB7IypElWxUW8mxsjS/DVPEAViu4ZNlbyqzXaMYfBX
L0O0j0GjNYOEs6zFL+OmYMdXiAsPgUam8IN1hpg8W5M3ufhdWj/M9UGw3iQdIg+jK6mAD7m8azB1
mA2drZBZuRkj1tlobeS1WRaIHUW88SwmIOhC4zA7ZH4q2MwIaM47J5cwFY89MIgOP06rzJ1ozQIw
wtN83WrVBox99jMF55tYCZaxAcQfvLYePWOubxSaFcQyEoiYiCtsDPtoEmQHCgh+229lHl3BRRtm
jyPupzHeJXEXpMTXdczpxiXZ16LsrNW9cp0IfdLvOw3hC6UxubBYZlO12/ZVhFYoV7lTIqzN2UUF
FtcpUoKZnGddy73SwMgT+WXJr1KibqsjQqiIVrDKQJ2Mg17AfozgXIUqJUkSrOap7jVHMbwogdEh
57tIv4zjCyaQdpEf8y7kg3IMPAnXd4y0V2kYnKqEglW+ZNfNbr4O+bdp8mEw0q3bBdv2GbCa1Gkm
HFGzuiP70gppdwllR1OxgCcNXk3AG+LrbG3i6CPszGcXCB6z2Y8CG+uyYNI9l4ubY5TfA1E1s0Td
NrtgGgzAzjrkJQH8Sbqvs/nEQPynlfBXjvl/lUNxrpKy7/7nvw3Y1n9eYGBbyzh3QhP8o8ECCI5s
xX2CN13+ldCcdMVjRiU+hUC1k7vK50hR4BQiBG3Ng9qk28UoPGkkc3idfSGcgioP/Vmv/VGR/JH8
iAjQJYx93ZJ4meHU0ns53yGiX023/x7LtES8RmocyYJctjBFrBCwUlxmli2P+yq+Wxu/MgTMbCE4
mcyI4VEayisTYFmZGSRfrCvexNOsj7EzmjzjAEjrQVc/Y/DjtBT2erdvYK7kHa4Ub0SJdQs+pFkg
TA+4hbml2TmACKiFoPfeFT2eNvNfiAT+6PHwy6r900n9g6xrMICtCWSFTZU/in12VquUGBWmEnNm
F+XrUktOKT4DB69mgHYYathfZQOCT/z5uqoY6f/APLBB/APgUI6CYE5X/i3ydczZgFljJwNr7phZ
uKn+zkwII9A1Njyt9eh+NPlO1bel8NwYW/IqsurEUiHKFzE58NQLy3bW9pEZ5BCEsQkQ9U0tAoMP
fyHCu56Yn2EStjvcekXuxeuRg8jw/Z+EMRJ3TCJZORMk630A5h5EBlvGYSEB4N/f99df9Oc3wscN
SzH8ZKw/XqFoyAdxKgabp0ymh8YyPnLMOUiAr//K8gPf/D++G54iV8cs/AqJevqTtpCQgBkr3niw
G+FglvqdEUrbpJs2mFxvRp0oOhXHUMaZUqo8TzW+fpoSSNo2qzwN66RsOuYGpGfs6O1sSR9NWi0p
y/0IFHzJiycmS27EPh8L4CFiscnL6j6NYMoqF2ygWYP7T2i4Huu/Y+XNNhnBZK6r+QBzKbqZug9J
TYJeW87YCGNNcpz1djefVPG2MQdPoRuMlts2lmxcJl1L/0Jw57SY2kU8mIKR2SaDzRHoWlwtTCvq
17FQtpU4H2biyFWJpWSaPaPNN3J0yekvh7jZ1gTcMsXdRLmXrl+FcI6ybtfibYJgnLsCp2/CaBhg
M2OpOjsqQNolhKZsiCYa+J4g0HybmHjs9BujvK0UKHxG7U8wVySjs1tOg/EyRq0/1U+Cdrluw8De
gUafqmLkzgA3LNaNFRMSod7XGAkkCY6B4nGaaZaXT0k8ZGbj6tdCXnhYUqhH+ediFjvxSv/DC31g
SGN9mdKnwSlQRE+AwTyVb0PGyMk4GdJdWpzGfjOI26y/G9k5dGJtGuEpykYG2j92gKJ66gcmnabm
iMwlB6F2OvkwYaCU4r+xgNlhJpSbgz3FS4Be/Jp7zrzL8FSKtt7EYHB2MXBm9SQLBCK+StuF836r
kz2/znazKtt+LR7MvA9i5id2TmyfCi81N9TNjISlwy8zhXXBh1ey2rbY2tZh4Jb6kBue+1zCRcir
JMWB7o/oNsJ2Lg2lwFg+UmabKQWPwnNSyaz37H0D1PPogCmnW8HFVqnNeLsy1skHVLfpSIZhe8mM
dTfpO7kLSiXoYs0uAVwYjEhh5I1DszH0MwbZLOXG5rqlKtOPibNbU8gIZbsRIcnlue5Y+o2WfIYD
WErmhYgMpLQPuPV8MfML+dmUiGXQmDEN0UaZ1SDSTGdEGkHYT7bEOy21tigt7MnUidS95kwg/4Dl
XHZ3q6zd58rjqI1HRR3AHvWdhKNj9GjGpd2YCqwWxekIhoT5ksnwkcK7jE9C4ngcSpidQlj9gDhE
9TU5o5jaqrgbiXcfSTSeDH8yu11n0RFSxcrF1zDp1CO6Z1byXalCpa6nrQR0ItdflbjR+7u6He0U
h1OerVCRGN2BdcCptKLnZIS8IqYICQS7quRtbJ0p/ybz+6oXDiRw2EWOsbJFSpfGPA1YOGjrRqHi
KhQ28cJioxYetORpmB/Qz28Fk6szxfcZ7ggrUVtS2TutfEIr7BkQdIbuQ6i4XurzhE17bMXuMk27
OIzuryUlVCBvsOC7dXBS4tGP64+ye6qzeiNTay7ZCeNyvx9eiDt6VCFgrwxgdMaq1HdKtxHCY2d5
kXkZDXZKEmSTCMESpSY+c2LCQFFyTFiDFN0LBenSX/2f6C0KHYKWwa16zsmQumZpKMvdSjlqDk+G
fIxYZrvxCY6+jXMpSg7V6VVElrp8nWci4n6uxF0nQCDjmR8HhHwYu4xQNHtfkc8S6sjBRYshx5dG
iHdRxxpbZRdrGr0Jxp2ZaFc+rTNI+YlUFk9vFl8p16ApCjQsvacs4GlY6hUx6fJ5Ys85wc5hd0Kp
7ET6vEktDP30rdJSt+gFRQiPMVBpu/gwfLZcLdjwlyF9lMqvklpJIPSH/A6XmcIWKwsIUBf4Ad6K
wUF6n8+fGm1PUw2buah56ztB0AOC33dxAWwSQl2K21uhu2uydRvK1LxMsPRWdfRkk6yTS1yWHUEp
knFnX5XZM8t7toZOim20Sw/itI/xCl7z7WjuG+FNmgCCOZS+6l1JOGe4aOPZ40R4LOstRwqDw9QQ
+WgfExEqpsRjK7ZXLrwNkLHMtYchFuNNAamY6qOldiKyEkhydzI6W7PNvQiISTaetOW+UEvX7KA3
ZtUuNT8l6EUsedgY7GnIg4gRQwxQjpX/u7nuRmszqYA42pGxyz7sHzNxM5DTObZBNm5G8QVpmg3J
t0nAjIxyq6knQQtm5CPTbSu4ybiJmE2HO7U/KPM9I+wm3Fxn16Z0MNralfvCYby06YCgO+F7Nz+H
9F7UPpYGup7JrAX7OtPsVA+m5nUtL/X1fYr8pmjTVyEEGdeaV920nHAonfTSVJ1rZhDVDdnv5ofW
iA7JQiPBTWuJjL1TIL9IdIb5lGmLO03M3+vIWWrjRqD/7qfGX/E3bsfq1Uw2Gblywtzs+wkp2eqr
9LCZF4nzg1RtK/1mzF5G41WS80eJHAdV+ipAmBZoxinRGjHKqJn7lAEUbr0rLOcV++r1FW2Xk60+
sGpIQxQTXwarTwg90+yIPnVDxBOLyJzFYAHPWInq0rZuVy5YugKcYS0BAxDaSOrgygn9A42MbqeQ
ziQ2GZlntO395joGBtqPpV3LYqrVQdErm1F6XOFxyZXmzWbMw8JAuh392bSuTO8nUjbsqYIySXsV
1/dzdxgG2EsWMqaQoNT8Himj3TMtNqfYs4xnmvsbhWj1snkM5++CsNx0SrEVGHyQIUAsV/YFJdFu
epQ38RaXYlAJLsyLoCC+tCyvTHjw8tnpxfJowQkOmbWF2cDcl3b+YVJ6Byo78MLgdQr9Crd1rY+Q
1yHI8PnNhf4ojmxJhXcp9k7VRMFQpg9J1bCaXDe5bLe2PNY9ysIx9NJZ8HTxhxE/vsM4kTgF5wel
mtdys6cF6whnV+ETahAVmrU8ynLt6TGEBbaYfGQeM7Kf11DvLPJ4RSiV6a4XVSz/F0YwkBHhvynV
fizZfCsnz1SKE7DORHMKcb4ReJYxOUXa89Xg4tvJ+SYuUckZhBvtar21TeWqZeOzKBieIO1SBWIl
Cm59LShayTYrDa+29aDQ8Qth+n0UyTQeTTsr6qBlKqR2uV+I5k18rVKU7pQmM8MiIq7VjbQUOKKM
uFRx94j1UY0ql7k9TXvlZsNlDiGskfKmh9ypzIMExdXT+SbPKDuzgkC2U5FRfmB7O1+71rl8Q06G
KVO0hZsa2kXco36jkBg+O5bMUc93CF63kR75pjrRrrbO3JzXJfG6IvVTfd1aFKKwDcw68gy9+FSM
GBlg7jTk3fbtazfPvjx3kCYbuPaaGxrsDoXkIODyJ86RCWlmhEpee724V8QVgtoMv4mYXP2lMO/R
DjljxPZXPnM3q6EjLWKgkmOc9sRSCboL9cfNw9dOojIRio260CpXqztVl1ZefTSnXl49ruUjTYFc
dz7mVL6aE442+m39FuVA8+OxWBEHt9luUKV9kz5H5jN+Jo4Aa21ajspcQWvo8hPS+JuJedbaEwkh
TwEgnKbmu5HSqSiTux/N1v9rxPl/x2r4D8Kl5WvX/a9x6buqeCuT3yHTP17xCzItWzAQAH/xhMa5
TpKuyM0vyLQsfmOvvHr7m6qMt5QKZv0PRoPJt1SWWTTxgNaYXf2GTKsKInpiE3FK0VGxo5j/O8i0
pv4ROFI5Brp0otTRU6n4W/2+VTcrIetXMHWnDqO12RukE1VuXauSstGpQ9YzciYUmijD1qiAVYBF
/g07TiojLE2ncOrddagy6TPOsqZAPBRa6aaXRslymgqmqGdFSdhD2kvj0MVUWMA7y0Qc9TYvebI4
Ovq85mSsSiwdFnFehU2fFgQfMWFvI0TpxG0Kxwr2jxVRMeZVddAylce9TAxpM6Y1nl/21ZTX2MpT
3N2JTbXsK3MobxXYPes2GTL1qWp7oXYprbTIXyKYd0bYNaY7RAZGYzZLQlW8a/0qUV/0SjkhyDWQ
ioturEiz+CguSh7eNCasroDE8lL3FkLcKYHCMGZcaXToii0xLl9UNCe6L+fjOG9KPHXo4FD5hd6i
93UPwVvpKZznpl2vYho6wlIq9YxwN1MAidanSPCjiNx4Io5wdTpCgrOOBRp88MJkZWFoOuZS+cQs
MUuuZQYfIYF6uPZ3C3wlLNES4F9HGEuFXO2UMW2BDFn11TRLYlfJTaRtohLBgGInwxWdKquanutU
Z19XktZIvDxqEVdrg4ATVjQM6vdk6ZdLFmNbEFoLAH/S0U91kX6bz211oE1BxN/2Og5UpAdEnzCn
szQQQkjEOSwZN0eg9xbmrLpWFVF88RQcYkr4pwUWKARdB4sIdAiIWjQG5GPT7tGs4KWSyGv42Jdh
uq1rMz/KiJlujUKefX0UH1Amik95lhbvkbIumGDNuQNQkV/V+Yism4JQKifLUutkZDh+4RuHp5cr
SQMJaemcvqJM4u4x0hkKf40Kmo8FbfxLKeuhcUZpNR4GdN4Z5gS0FQ1CZk43ehfsglDa3hdjFYte
a401vGWVzrbJlJKzxZ17XIUZD4ZojdE+Y7e5MnXWRIh2TSRjLanJ2QS1tqPKXhuEn7ao9jRepKL3
DDowM3Byuejv5r5i0C/hK/E09A3ARZZk66M65S3+14nEPt+rY0ZzYejlTZUIMmy82RxW/L7G9qFs
kuSTqDDk4JmSjk9TnNDk97WyPAwd4Tp23IY6TWiDRHazJD3Fdxe20ad11by0fPjYlcNZRjMzx8D7
87TUXw25nKZbIOa5LQX42eAEnXDblFpqUO6ooWGbnU4kYohw+2UayfCzLZyKI5TMlbQveuiOVMIC
rX4l98uhjzN4iRYOj7dY50SPeGGqwDd6GgaCFptv2phbFt5MnXlJ+qvOBMlQfIdTuzB6Iuz1Ux4Z
ITgV5gnvRSxEJLcOfA+6iTFzxo1xOkSGCuM/T6u7djBoi1QEsNustPAt10a1exIkVeoPRjOQp1Op
oKNSGVrHpECOjE1CkwLGFEMremqTjZBqCl08mUIdWn7aZ9m1Jp7qYSc39MG2MQjdZz0J0/dKaemw
yj6zGGXXDUyUVRIX6E8969v7Gmpy6xCLVr5GHAN8RX1Q1oOwFshO50VoJfT7RfZhYsY8+61U1zr8
fsF47OexMKh0SzrrdKzawmtGKXskfXYJ3b4YiqfZUkY4y2tqfrTlUp7NKafqyLWG+gSjLaXyiyG+
kiukRuDNQ7WzFyuvH4x+jGNbBNJE9hPK8Rc6j7LxKPWqZz2K+m7XmyM9U6MgOSyjamairUnryvAo
BD3pllA0/V7PmBd1lM7MzlN0MddG2HxUZEJG7Shfiu4qcC9IsctGy4/Jz96EsMFVO5Lm9Ewip7Kw
+OThbZgLBcoBpWzOTd9Ez7rcE3ogqpYVbXhTJD2LqIbhtosVGaCfy9YztCHi0mtkhUGm2oT5G3Gq
iuG0E+ueC4d1ZVwUmylWYtOE3p6qVJtd0K7uVl8l+vExrHTUJTFW3I6akphrS3Uu7GrkzDOSp279
MMLIfGQA2n8ncm0FvJVxnu2sKHvt0lGF5F7pVehwwjl2fRLWCLepKLvviGEfmIeq0G1XS0IaCjS3
3E8DSFWAcgkSW7rgrokJC1HzjtCOdDCyVTKqUdC0gHDFVnnhql2dIKIq/ERXwGqUk8kQgdiy2NJM
qtVj1ZTtHg+aK8o4r0uBtNBM46DuMvEuWgFJPLNQWkg8qTogRYR0jS/0Mt6tVjcBW4QpEu2lHaOn
XByik7G00F5JLWfE2ZpdC39xrtaTShic6JpKNLHpStP6mUcRghsjhegwLJ00O0SK9lBB1gINgqDL
tcOeazw3eOa+SDoGa47WW91ix5PZUpDTGz4NxPndCWIJWCl3CberMdbGhqxpTDzqVFMaV2QwpPsA
4TClJktQIX6VivgmGiptSqdOKExMjErO5WKwCa0DYvDDEuU1nMNSXc5CxuE4rWTK0LciubsMaoxD
BP8g4IzZYwm4KIn0yNZVITEdB5l9rx1XL4kTMiMtWg48bUhGgArFjlwzDG6X2MXfcOAHiW55JhoQ
DTk2MsKNVVhrYU8FbHdUhPUERo0I9GuM8grcuYH5bCvr0Iew77rhg98R5h6AnfyCjik514OYKF4+
1bjx1AhQd8WM6MQxyRcL3dDUkntr7dERaBVXxFMpIlqknmW3D0nGUiAUWlhvxAuLpj3gPv6+ajPC
hFmmD1CrRu3ZL7iKbp2W/a1UqtWyKzJpDNK8MxvQHL2BsWgu9KxGKOOPaKZyOztxFGbPkoLswcUD
pznkA1JvOzTWPsHGQmABX2A4PGnVAKcxQ2/5WGWWtAZMg1bghF5YB78jroFp4NLFqqeuCcTXuead
iKxLsYnB8bVcN1VZG4Wj89B0LsWU9qAnK3L9Jub8w3YAEU0tJWFOXWMbcJhlPZo9WCB4bGqtABg+
6VhI2eE6yu+DMNPaWWZovnVZFL328yA1u4yUH0aXRd7DDTU74S7H6g+WtxnD5En7BZ8aKUtxeZKb
8WqrKWAst2IARBo3cqHx0K7m9VFapBoguhXTg7So6mwPyaiJTmW2C3y2ZZTupmVR7hCaZa+TURgg
cVWXBtow0IzWhZl3TlJX3K0YtWQUHGLZlX6RmBi52VMf9dqRitVUfUVHG3lYk7FcToqaTasnpLls
vBtznLDZrJJgDvcrBqwrbguzJBqHiFyM+ELBnOZBKIbldJCXVbF2KsKm6q5r627yExACadtMZtgh
1pCk8EMjCCr2cYAwzQdwTqs5aAq28HfKEiqy00viKv/FOJBG5ndTOpKu5euF0eiBJAn7xd/3GGEq
Czq6yMgt+DZ5iRn2pZVRfPzUdZ1/mfr9PAP/Y74F0XmSqZFZhpSd5Rr3+d+/jdXWZSf0TebWKjHH
VBn5fI9z7xUgNsUUoEySIS/XVZo6i0KJKLZTQ++ftA9/v0/+3zXB/2m+cDCrfromf/KFu38r/+v4
1ibl7+j9P170K01L/gZRH6o+xqWyomNY/49mWJLh96s4iYsiV84i9/OfzbDyDUtqNk24Wkx5+f/P
zTCxKUhnYWr92kL/DZrWj6yVn6fJ8MYQGFw96jQ0A3+Ki+7R/Ms6KLRtGGhHSn1OAsu8UnfKzsRZ
HpqgHCteKKXjSRi1QGqSrZr2tS/K2UOeyh5SkXstYQqhzXFzaCvtomCoSOOKjYAAEu7FFkLVdlTa
rZ5Dx8/VEPC5GSs/JvHDMYTwey5PyPVGJaXQAmudRePLgMqfjBaKFqt8MtjloG/jyKYP0v2oi1iW
ReiNBOa7Y8HPaN1LHQ3bsnkdqghruF4viNsKH4rx16f6/8NBD0v9/X/++6Mayr5d7r5HSVX+LFf5
ofr413DQPX5z72/t559e8ssjoCg8AkTOEaWpcK//MEH8lakofoOmiEhFFjVAIdX4J1PRFFG40LcQ
gmDpuoHVzG+PgKF+AwaCIUI1bIoqL/w7eNDvDUB1C9QJc0R8jC0d5gZH+PslVMB2Ys06UfIWo5tO
Ejs2YmQBWiVi8MLCgqFpItMfugjqeZWIeX8QxkIynn5aNf5vK/mVDvnPB/GXwwDZMuBxokk3f7Cd
fuKPlLomdWAOHAbAORrPeVatbWVaa2iPyRS+JusK9zw16vx5aHSZLbm1ksVLdaYtG/ybQmgPFIvb
MOLUOWqMl6KetZSs4tKAI6eGiuj3L475uon9fMysTZqC4y7kT4PreFUu/cx5SVNq/VKvcCuKoQmI
SonQIjT6m4rOY4/KEBOZLIzvOjwhPWFI/w9nZ7IkJxJt2y/CDKdzmEbfZJ+pdoJJJRU9DjjgwNe/
Rd07UKZkSruvalJWXRAEuB8/Z++1gzOtdMAqLf3dZKSN1eVxK2GTxGih3rm01yIiCg8ujWujrGSB
/R9x7K+XNtjcOmEJd48JrrrKOZg25MLne/AL40H3yyNDHxf8iqN3C6k1TBVhDZZiIHr871fyWq7z
vxeC6gVxkMtW7b+R6xS0HmYAUmtJCPWHCPa4/rlGfz348DcOMS0tjMgLTKl5QXb9989++0z9dxNA
c9NSCGy2DLTDv96ELiZem9Aefp/AXezNNE6Jt8kGfKXFGDJ9DhufkxlBYMPu7x8s/nD7AwiRjKjp
BAfhWw2XHrqYgzZ2rTpBVVpZU4TrE9HUSYe5zDm2Vd3ZJoth0zFTfTLDLDbzMFWPsogj9c5deFMk
rT+Bz3SVZBqf6FVe8jePabCEHVpT29k74PwA/Ukr5yQq3DbZgFmWWBj6WuWXLnfmARf1VH5rxIKA
JGiICXznxvz+kwQE1zi8M9jpWMLW3vQvr7nxgnqJC8QD8BYR93mjbg/Si+LbZCB5k/q+jL9k5Fug
UWrKu8yL5w9QgNoXyu9DGcC9YKecmy+dN1k3U45WZSar/NQuffzp71f6+3P737ooiJ63XeK53iyL
fZb7SWajM7bmdMAhiv4SAN2E96xLbh16nHfe4HnP89wkp79/8u8PD+UNJMCA+0QyC2Dd1/dItQt9
gFZnh3Ah14EKFgGgGiKLs4PV2F+ySjufxFAu/xZROp1AcqZX0mWzQxHK/p0y3lk/69USt2bDuFRc
jg8LPPzvWn/5vUiyzO1pTvCXkx3K0a+dAl5VxbJ20wMMA54BI+7isEJjePRC5xyNrWYQmzH93fVo
eh4JQnKzK0EaYvyEYog8loSZq6Z/BQNFDQyKXXsWN5bv0ikFfTH1R12DyqGLVyKIKeYJS9w7d3j9
8V5/K+mxx/B2cjZxxX+qv1++VQ5sy89EMR48HzTKCMX1JGpk1CY1GfAIHH1E5s64AZ38nwlSHOp6
puvvXMVraSGvpYdBlcMLf7Iz8Revf2aW5CQLAK4coCJMCzaallhM9EfiNurJI65K7/j3r/2HH5PN
lVTU1d4QUDa8+UR36KZGzJDCJuaTX2xXqUPRl94LyNc6JEESKlKjm+mmXRTYHZrZl5mwj4vv9PKx
VtUP7UA/HZeAUfjs5B8bFTBrRaOVAlQpt2mlK+JPS6CniDyUB+6HHkjgWvKfv38P8bZkcdciIaAy
Yu8V1GbrvvzLz+darjeHBbDCXnPCICHE7veEdOvPnpW0VyVG/xRHdJYyK4H+uSTzTldKPhvdPM5e
1xyiNMHJEzvBE+lS3d7PoArR1w/v48JloM0K+s5+4Kx39vUDFwK0dvBm2E4Q+M66X/xyxUPUFxYA
FQN/ucv+dZ0SEpwyw70/l/NjGqfOyeGFQUXkVE/SMv9EtYpu1p7CTidtkO2XfEZ/CtX2RYUwqR2w
W7vecrHNTfEyf4Li5YHkqqf7fOo/yIRYv7GLby03z1HMSbZY2xrHu0ksxTs10O8P8foaYbdhYMlp
/+364PRhGxIlMh7iwZ5vdGEN+9Ed1T2V3HyOXS9/5xn+/fMQRFPHrUhx7OLum/2DuYnrQ6pfh/lT
/dntrR8UHbj62858t5OsL97ZPP/weV64HhHZBziM/jdL/eWH65qx6v1ioKnC1A9BoV/8tJZJXplg
oX0yrf/Ogruert88KRxHXQIrApuJr2O/eVLIo6jDxE7mQ8NhEsYQSTPoxKpnkxUtaqwROVHKvtMO
jEfwSjDwGoYa502kbPEwgLl5cXuYwn0/Be/sS7+/dVwZR+XVVEV+5Nu3zvSIeXQGagSaenGMYU19
TGIUllEZDHdTD56jIhPrZ9+PQFycWu///tb/6eNDJNicekKPd//N4qXaio6uhkO92MX0gUAU8RUv
19HyqrDf92u08WT1Pxg0N5c0t+Q7X/5NmPq6WvMMrAEsa8ZMQPXy+g0Ow77G7Oibg1bULCgWI/+l
85p2WwKdGNBQ6RdMRvKhT+Q5SyPv3NlyvCfjJAS4HbolGqwmxm+eo+vNhjr58H+8O1jMgjVfnoRV
Dpprw+TXBQZwWGYqG9NKQClw6hjW30MGT29Kp20/G9/9JzRV+5TyVh3qUtvPf//030sWn0MsYoJQ
2oQA/OZZyDRdbzfCGZxnnWM9WTCVPxiU9eYuB6bpIQNQgdgmuE36vS40RB6yGLqTEGmBQirX/f+5
9OeC5H/hAmgm+FZvyrckXgYb4ojHOgFIGyo3wRkxuPLbySrMF4hoN4NVe+e/34bfHlE+lHeEgp/m
FA8DDa1ffwTmTzHDOeEdIPmjKcqjUfzbg1U5zlUgj4i4q39kVItTH0IuJuUVePTfL0CsT+Grfcbn
u8LDYCKBNYIb8PoKptQETjoGwaGPXRy16DwWnICZyeoz4bXgp5SdV2e64NAaC/6VmxTIsHlwkW9g
9c3BEvHwxpV65939D5Lx9rqIZI84E60/i//m58iC2emFM8hDXLTIqpeyBUgVSbpn6PTGBQp46CtG
ftyYeleroHKP2ag1YrSsD85TbTPx7EcnnE+RUEjGwTJyenBHy5Y7UOawEYEbwkjIhiU+auMwja1T
a/rfYI9XuR6v+s3rL/j6e5BYsVpKWVpChqlv7m+nqlI0oqcfUug8Pq3dkpIRSkvLIR1TuPdxnUCf
TN1VpR9HqJaVqqW9lYXnFwCo+rk/mizR96Lmv9w2pCVDxJpnXJR/fxJ+fxTpwcJVIfIICRKtpdcP
glRBX2YVN9yi+bMrytk/94P9qXXK6NbJ5hJWjsCC2Cjygpzs8PcP/23TpMChQENVgviIs/V6cb9s
ml6HMLXIMnkgAdZCa5+MD0Ea4c0QHB5sAGTvRC7+Vz69/lkcDic2W4OPBpQQ1tcfSINBByJ15SGV
9fC9sVySzjnz7qzcs29i1/LUPvYgw7OnMrZOInsP9VWdnZKFSFp9dacWWez8JNVXFyzgsZqz1trX
Jd2QKlnCzynT142ZNfUVIop3Sow3njO2Fp9EYvKObIc6g6ioN78V1MjcsofMPtQ84XduF0Uvonb1
VSUi+VhNnHnLyYL5FjPIvIlA529FMve7ZmrwFklkH4c2KJL6nZpVrM/y65vqsunxBxmNdO699Vf+
5VfsaJmoZnFRFHdJqZEyjsx0WyduPmQBpLFPwPvtlZghmnTrOWOg9ogogpt+ceWlJ5yXxAbLgiCL
b7S7jWYnIW+ShARzNW002hsgeqN/0yDi+v+5cILnWGhXhZsM3lw4T4JTB6M1H0Q4oZtvo8rU+2IA
qFeDxvsCCxfrYCzKmvahOwDKYUZmvg4a5fC6VaMjJn1bYGrQtagwSiXyNMQTrp7JXitujbToMZWe
Zb934b+v3pzLnGClGq213yoB/PWOm6aX6Sxg1matjf44cUX/jQDje1G6yWO9ckWrJLS+eh16nMRJ
9UuoSIYy9lTf5T0v9t/f4j9sJrSFbbhqmOldl1v5+nJ6d+TUQc1/CKSZD0nsjqTDTtlFBb6+jXWA
lEqn8hIi2L4oq0fcK5bqlr84wy5Nru9cze9Lr8uKG6w2Q+6Q/3ZHn0sFFVJPVDiZApobE1hjQ0F7
srw0XtsQztVNiu7Q9619kwTdAOwNis3g6XG/IFuAWNctD8pzEafpsXynbP/DCsQJiBTfkIi5iEXo
zQrk1HUiO7sFNww9zbtVtK83URBnQPanLkVm5JKY8MmaLfiXDpjBQwgzevqaIS3JNmVVWQyEJqnE
Le16eslQVAnxZrZtz1urWIjdWhz037tGonuHCBOn6lAuhKxgpnPc9271H55DoFtrNUlzhAXgzZcJ
YaBiZhvFoa4j7P0p0Q+IAEOwjokVbzpfL7euQx1hxuTF4p48uMgPT24UQxVC0v7O+uj84ZdnSSek
zPZRv+Iwff0cBvx66cDJ4JAG1XLO7bq+q3t+jZ3wbfwYvSv2/ezqbR1BN4zRptBR0vZDCH31kLaj
fepxXwAdYK3gZAJydq9St8Od2fk4VbLVxl0S/PIi/RGKUZXmEIhxBiR5/z1TU/6lrGTw8Z2n2eWa
Xy+uHGEdvo3web3E2+ME3PfZKvD8HRxesPtUFO5tgE7xgJm/+DZKfPJJ0eK8sbOZwUYc/cwS850f
osGJNadPvV0471QMf9iG6IkxNWCFWztjb3sUuRp6p2DeckhoFN105E5hcAEiQVt52TmjmI9BWQ6f
I3alO9aFeTdRxBHSIYL9wlcBlQpk8u+3af1l396lMGRozOmGDtnbFWhEZjYRLBYf1OwHnwgEznYM
itQtNf24hyVsffC0rE5//9A/PG+0fHnWmIutYkR/fT1+2fjQbCH1CTk7pG3iHWl8Oqe+RqKf62o6
irSqrhEX8Tnr8vzaaDv4FwPBN6Ru2ByC2lfHIuy7W6uMsF04bn31HR3cWRGGUwK3IBnXUQRRtRph
4pMycwYEH7+o0clf2GhutLV08p27CDT4zX30+FnXF1kyWWPO/rbrXpQdgkLEtHsNjyPautMSLLue
scFLHjkzBPixQaSMYyZMdizCTbEjXyc6T1Wv3Y03c+QkjAl1Kl4R1zQfa7Rayc6BTLrsJz3azt1s
uxh4bHucuq+TKAE2Mo44LjV09u2I/C/ZFXXw4pNljglL4GkP6+KjmkinTQaAi23j1zW8S9E3uBJL
qvfcXRG+Ma8JNBHq44HazTMPxSCwYM0pzHw8td70lXhtjRGoyARdzSIuL67WidmPagRUEFSQfsKg
tRbY1JMV7erOVxQEgVeW59izzZ10SguAB2qYR24dnPY874qf3ZC5RLoVE3bAEtvHeMUK3MQnB941
YH+n18ROS2sozlQIxSONnO7fzHFMtJn5crvKEBeyYzxASkkrSkRmSrd3uCxze1OShORu1WTpaTuY
CGhsK/2W6PoJTpLCD21dh7hvP8fkkQRbm+ktpyXLqHyjYjvCdjcoNvtqRlgXIyntTtpvx7MuF+jM
bgiunGBoCWWevPN7NHiWfRGKGRsxWmUa7DAUY4ZL28qOj6bvG3F0C10+cfNYDrtivVFxgYmNt3HV
UKtA/qgIPM7fO538NpLigWQ5X9VBzCnJMn7T5WraoKtTlvR9JTJxye2CeFLZ8b4gsLh1F2T/m3kq
4eCxiV885RZnzo/ineP6b702PsBZm23r4Jtjs/em3rK9biFuD6/WnDf9uSzI1CYjwYaent0lg6nP
bhI8IyLL6KYm3bWaOh/fdWQdGYpgf+3ngD5Qpn/+ff15e3r6n6uixgmDgNmE/eb01LSs/u2S4CCb
K/OzLCaUcYPsHsYhKT/7iAwPf/+832oXVjhOamywDpQDPvXN+aMpxrQOuhHOZDRFNzg8iktnp+UX
8kRWBnnLu5F49RrYkpz1UhGIbqfjeswSmO+DQiB2H/N0+RjMXfWEaid/9it0aNtGBrcIq1kjsLHK
TTTi7fRsLez31je0Om8XOApDgbOGqpmtgj3z9ZIdeZPfOAPWi0YMS7BXnuzCc1u2Ab7fbjWnQ1VK
L3HJgna0S3d5bnn+EtTci00Ugy9AJyShNsfCTIsixoFDLUaVTH3JdG6QCUt8LimsbUzW2v6WFAV1
91hn+O/bsKvVLrOb/mNXe1eLFNXqCKHeTy+t1mhxs0KlBK5VIf4tlMUBkYqYWT+nwWJY+EiLq480
78ClJI2d5SecIL3eK+wK5X4cRrWck7CseyhB8dxB3w/9y3q+JgnX7oS/r7tEjediGavvTZNnzQH9
YLHsY04S3yXJiCUJFblb7IKoo3AsvQ5vZ5AJUiPzJUZAJJA03kAJtzHtJfxeNO26HywQZf9CE6b7
nnY1jAI8+fBt2PpEdYFlget4Ghnr7VAb+3dl6OIoCe0MUQZJ5OYbYWiVc/CmnEReRd8PumOwDphQ
utTJmbFYQl4DY1tvX/ZZD9ayXbkhDRI/DPfT4sO6K7PQnESTlfVFEqU43+ZdNbi72iwQHm0T46Jk
aZ/tZlnvtfMUq4iCaNbgsVF5l94/LEDhg+9HQ7Pt86zCbI6XgXlj7uBnrFyCT/L22XP72jrFauEs
4eY+XmBc2fqefNBVD+4XGBkG/NsQYAob7mBmRQ86T8jzSwUE7j1bUYS3FN34S40rz+yX0i8fLNWj
4raKcbydatN3xLHzHZUJan0qpxx0AZRucjKwOQXTXiOKdg78U+S8fkpjeDPk3lI+y67K7qjzZXqZ
wmQ8StEl9TP2j7bakwWn2xdHikE/SKnq8YgY2sCiISz4R5Fzdj0nxK20ewBYpDAGMU5aK+mj8RC1
xINtFah+GO1WX074Vjy6ZH2WETzUNLPCluoFkvN8kSKQUDrKII0FkWkf3DErxdbN5vpDlNNdgp7H
TdjJmHiaLUEew7HioA+RtvPCHsZ9TpoC5hDBPywK/Mc1/ej4kFtZmB/U0pRPNdvsuHPrbN751VjU
DxrlGjt/OFjAmCfh1DueRujYZpDJbe15xG7Gy5Q9AU3KgJAOYTzdONpdmmdrIbFlU/JumjPOJrAL
zmJm6zjVfgjfIByQjOPeqPKbZZZxDwWJIAmsX81UHhenKNOjCAhPMjT0q5+Fj6UVn4SdepeqQW+H
QHYM2xNZihHa98wa3K2TtQLwEp1OD5lfUxCCQ0N2uefRA0dbGQ/okZeWJCZYLcGpQQiCSWgRNif8
Hy2LOqcWDnkm+kqomCYFVMBNSQl4ueGHBMnAHZvOQ2GtYMUwi567mjHyAwvKOO/qXkyw+Zd1FGOY
gr6UxunYvUKtd+TrSGBvgn3zthFojzdeQil7wHITL7sF73ixnRMPwSHxD+BqSqcU/jbz5ugZ8bsn
LjVx6c+9zswPvxsUy5saK+AwJBrog2NKoiKq2GPKhqXG1Rusbd0Xz2lKf9uMJWaSURPmtbGIhkB+
TSJfR1EZCXO2nXwY9sZ02cfCDOFPI233o1d0dUsGqY9WGzNX4l/bcg3jGIh3I+pxrmtK5mHU9dbL
3IiwTlnl32Nlm36/uEp/RIufdEfEG+imi4lcOmISLA/SEULjdC/KBH5TyhPTbwevbvpHmfJFD4hd
qBgnBxX7PpfTdG2jovwnxyhQ7ftI+SSLk7vhPdp4+C7Gi6n4Sm8RJAbzywS3wG3Tr1ZFqufGGTLW
CeWnVCsM1rt+34JZOHU6AWVDbgmvOp1sE+2IL8BK7pdh/2i3Q/9h0d2K0CfnMgc3mWtMx/QLnA8R
sSD/cnf9+lpxwHL2miLpozV7+MbQOi03xmj903U7Tbt5ISVi78q+hwRiLaQnLhnUh6fEJ2x1h8PO
OMeJ6JgW6JomCCQvp+TD0DV430l/r90zVojpTLpZOZwLEhjxsJDOvXGDvppvpwznAg+lHxQHwPoG
jjGWByKDZE+RFtr4zDckBi97n14a1JExxWpOD6knsKELJ9yHvvJ3RWG1ySnrbYcEkGQI4aPWIQ9w
qhPvQsJrVV8sqtOtH1XYnIAkNf1xdirPbAIYcy+FVDp7jq2MrXwoTQR/MB2W/lRTm1Kx9cNLg63p
yvg5eSQLToz4LnM4uSA0Po8k8E1w+e15uJ2Vnp6lSyQdXnHHXcjYXUywxfwGrKbQHkss6T2BteW7
TOTmtpmRu77oUmq/XHVIolobZUYuSJBNA1kZ9ujM+ZQOA7Y0F3W+e+U50PFe+WX/ZEYZL9tAShNu
UOGVJE5NEyAvMblN+MjsYFIHkArRzzQPuS+h09KipD8MetYy2Ca2eSr4v/i9as7T6E/XZRwJbQvX
1WvTLQm7YE9FgJ1w7iDoEd9O8y0a6H3PBkndrjDtTFBpAbH/0PO33FM5esCUoy4H2uDUZG3WJi0/
zo1b5ldCBYv53IWyxKfhVAb0FJPpS9aX1DphSSTeOQ4W1B/WUALDHWqvJ9HWtu8KxIXIlysXi1FG
iXWdpeKoNuZySHdLueCW6MiDvarAgsI4JPjvbzB3Mptdym44NHiYaJBNNJgvcTGxEdZMQqgKMhpe
rl6CJ2RHxOwCC7Sjl6pMjX1XMTZLr0MyBN/RrkVQKfAXAhTBGIhzsU06Yi+ctv+W9l6R4mp1+TRO
+csXaVWy2Y9jhKUyVIuGp7QY3W9dd4HxMmIJfiLqaukhcVjTj2GS9jcpyseEt4XragcBjNFaaDAN
5FHCw1QFqSjKdh/jeXGG7drlRtLHBErcWrlNLHUA9/PWqS365TKaRovPiKB7YS6swGJ4igiILCzl
rmpHDHTxHBITi7HQOuV1yb2xRZV8yOi+buhvFgOQFJ0mt2RpITlw6GpVW9GoCGJej6qFTE+2CoXn
qX9aprqxNnJpvZ+gyidxoOaz7MfF6iSRK0kcxIfKTftHL2IQRdaN5kmlpKA6qpeUcljrOIcSVy+J
2qZtH13YV7HdIVOt6t2EEnY81XYtxwOrBvHd3Zq8sAXtnzlQQWjJnWJDQA28FNd7bFsXyxnXj7/b
N5CDWxbyNWjB0F4vG6/ZxX4TemdZxyLhKjqLgWCIS3XowqX/RuPTvlWBtiwMawqEdRIuZLsmVTDE
R7sJYF8WYsWgan+NI3abrOZYnVrRIVPWtBzDMutpQGhwVce48YJqbzEWJcoxpyv7ROScc0aAFi+3
rZlNeu+Fo98h6yOdibwcR/xL08k1l6kpbWvr2Y21H0tyxPeynxhQVhq3npfZvTzVmQgq3tHM/VZw
6hi22kJDsOuncgHTYM1UlgREJ+3JIwM33MWtkGrHy67kXkXJtkqGrTtXcHQInii/JaKSH8oorM3O
CQY8Wo5XtkTGYnIhP7vGTLwJrEl+wcGUhA9NU+fdoYkL1qGQaKoR/PMQJJ9tRmVECZg6ve+Hymmv
rOD0Ycismu5MWEXFxTVeg7qNESHc7Kk1+aFYEuEDqVoGc5N7vKg37kKb4940XgaxrcLSv3eYNDyk
bUuFkTYdsLcBVzhzbXxN5iaNcNxd2yyFaLP6nNKj0kNAgaGJPMSjz5qauW71xCOPooWobMrO1ish
WsMi8uBxq5kcUYeD5m705wBcmmwwN4mYQwR7MCaihEgTYCJoU771xJf5+5j88R95XIICz8OqOce1
wGuBKyPwiAos/KfWbYmDSz0EY3sOLDGxZ3Va1UBp7WQBAzK5ydbrDVcyyWAlSFf58t3OCiDlJkuT
C3rTiNjaJucWWu2Kdq2GsAfB544t3KWa1NWMEfDeiJnspQJ+7k8y3hh8TaVl3LvcCtxT7CzVd4Ik
OZVOpgkRSvUKC2htVcQlddRvZ5WVgzr6xMVy0G8nYtyMUlmzt6w4qQ4R/n56ht48qEMoYfd4utXA
SIoYc1tFxuhwKZZVF+tXXveyvg3EqVf+0G9zkzQfmVe2z2SJQarziZQlWDqfDBTAKpxI6Us4igHQ
z3LAKKAE/W2u3f7YqynLyK9FGWiESP41RZcV13ZocXpL13XJtJZVsLe9pskuVh4Zc2hlCRTBC1GA
BKxchKVLjlY3vM/DQ2LqEONwZdffRK6L7Nhknp1fWXv7R8NRItgDgPB/tLURJBrZBHE/R6NXXTNS
b070uYGZD61QDCBdW34ja82+yyYqb9Cv3XRIVG7Cl6hH67cLl4Z5hbY5Kuzp6BPDEkyzruEni7g7
ZlYDtRDb3fICKrcZz0yU4psKSk6wzR1Ben2KDFYfhGg5z3ZJVoZAAwc5EgS8kLiYJTwPODRreO6y
aVdSVkfkGc5LjVzU4UtXMkyRmUCC+JENVoYHtRoJ9Uma6Zm+XfrUtQp0P6xHcnSokOqNAfW1nCnl
+/QuaVrSKjp/LH8A8tIgZCSx43NgUR/IOYWE6Emjp8eY2sLeOY7qEUlXKbEivmiFc8TyMKhNQQEn
b9KldsIbWbdcDiamMdpmsGJx2UtmItvAMcmqTqFMvYfJFhFS2M850X4MH/3dRNvuyUPTReLBuISs
E1kbQxaMtBNXD1RBxRryYw03qbSCU0QdR4bDjO+e6rmKsgfMor2zU6NF4oQDoOaptYlZ3rheouej
YmuRH5jyEAaHf5TkVUZKEfC1ZGrd+6aY4XvlA6Ze24rhF/LGRF9cdKB7fIoRmwBFC6Qfp/DpoGM5
J2owTrvkQ5q0K6SqTBpKzErCAZph/IIGSbwthlQ73lNeC3Xx0i6TgB2WiOWJQd4plMQY0RamC+SW
9ujdabUotc2BVqK5zt3FHDwdpVd7Tu1vppehtR2odC4oj2xzmSdVeluaDtnN2pZKNgJiw7xvyXUP
niJsovtSBAa1SuOw6vuy0f3Vt+NRHZfGDe6psTpr76XCXGMZLN2eDGxRHtK6XLu+qCgDifdlNHJL
dCQEDeR+EMpgVYSkRJa0nnGB52STn5u5iMqr30Qk8jZRPdBwzmLy93RshYfVZnvujOz6XR7H49d0
ob9waBn4EzrJJKC9T1VUqpeoHazozi1lBAuTOo5eO/prdsnQfOmims2KGouqoWbmCyFyABmZJCXB
bEMjYygEFgXzucvr2DmTLIsD1pprtpRW6JSY1GVdMq2yVTXVB+flc1gMfgfUrtL2x4mj7LzvDZXP
fgSFsILOCmE2uinib3kOI+EArwvAkVMjvN8BPiQkOy2D4MTo2RlOPFWk5uD0zaer5Weufc9Nlt9T
sNPxNojjnGyZtpnyezFh+IBHRexvJWjKb0t7XsbHuImzdF/79VSfcnibR1koYicW4u05I+q+vORe
DYNDMDfRkBfE9Dkj2BsElZrgwgxlgnIgSnlYt41II4iiNA92Q4j8ZZdJr/u0BGkGydPlK28m3bI0
KL/h7DogrCUHC40cWxP23P6uHxZE7+hqAOg4yspuJwAXAFTDNGzPsuM0fF+XdvFxUkX+zR0LgB7k
0qfJyQEAM25LaQdgynWGGzzVJv3MaApHuBuMfDzGxpcFvjdzBQ7d04WDzsAATw3xvp6US5pLr8F9
R80IXA9yOKjjtm3ijUwE4IjEzvNbnDrxNZedbG7squPcHrdj4wHn1O6XnoFptmlS432PaPgl+yqP
a7hgLk2Rg9NkybxNbU744GaLhWYd3cnpGkWTtzw2RYQqXdbYVLaahvxnU8m8u/JgGtZji4y6L67u
qs9iThlI1ryi3n1m5YS8xP08AOBMlLotAG+FHzsY+gg9AnD1ZV2Aa1ZUsrBoRk0rMAiSEVAsGtHy
qCEQkEOpVflzlIHEGuWF+b+c61V9bJpiie/8aWYEWyvjfh/rye6QtQtQaBH/2w2X5kCAzjquJ0uw
r0Ph9i1werHXHekcZXsG1DFF21Qa+1YsdjiDuYH2A+/Wch9rej2C6jiJfqKFG5w9kKLcPuVNzmxw
HIljTBsfysNEw7jkYGgG6t1liDg+1eO1qxaYkKUkOXI/zFHcHyIxkwhr8Y3mLWwm0HNxizpsw+Rb
KxCysvqJ0GY5h+UgvtMbRMZSxiEWNBtysMV5izQ0pevP81IUDqemOYsflrRxvuTdFKS7AD0jPKVB
W8V2iCsY6GhhBfy63NJQ12wNl7YJ9L+0uo18xME/dQfi2qzuyWVzCvYd8pD60C0SE6swsYsFljBJ
72IPCwhnSt2QeF0rrNJbt4YisIN+AxnZyjjhQEr1zNmP2b8g14UN+vJ+oXqbOKw/a8IE/EvYw767
NGlr3xK8nj0bl0Q6AjnmnOOOigh9XSzn2DldWAC+DKkwZ7+06B0247TGlBecIjnVpA8JcAJn0+hw
6Ta0MeQt5uGsvTCeDnDSw803d03Uye7OlrPvb4AkjBxpRFv03wargO44h6Y7qhSleNnY1tcqIK8X
waVJYIVDeacj0jS3aFNnMoGQpUJsk9bsH6IxLxVxmCURvcLvR2/tWchwS3Nv8Y8tcmt5b9eAgw/9
osBSVHKag0/0MBvoMK6qaLVkFQHTfOO8AfYSOnof47MaL21p+dZzHkO0u/SOGMCHlkUQnQlsBO2Y
hHZMCyLToXWT6bErDr4xcBtiVrQF5CAlqtv4I5U2TtWWSqIanKM1KyemWRFVpXPftKl9pq7s6aYu
TndvqJrEyVSORMAuImrwiNan/tpqlDN3pnRNeZl81XwGHCW/owYGFZ/WfWof4X6Il9jtkke4u0St
2J2tOTJ0RT5fMXn29RGKr7/tOvb0TWs3iLfmFjbTVhA+O5PSpNWnxYazDHjMzZ2d9hUE2iQgr37D
suYVO4++2ZdoacNPRHeuEvmYDtSu4kAIiFnomQCGZPquiir9bqsh+RqPuZ5PoWViNDhBlf2gxTec
PTMIeejsGPqKioj/3RB2PDxjF0oEkIsqACjNL0PLN3VCtBNJ1a2dUFtvvdbvzk4u5Ke2sJcfRdb1
3Vk3PtCQpKjs/MD73ARAUumQ78TYu9OpLQojrypau580hk16KyZnVPuUbxWCDOzsnzRZvfizbHMV
fGV2O8dgyo1XgWQSgzgUdVGHTw2aJJeDnpzGn4EzR2THZ0lEapPxEK7mPInuw9IuMG0gutIHp5gj
ojuHH3Wri5H5H+Ph4puKUuRG/pzWO2hw8lhmJiQAc3E7d7NaQ47cDD6GWG6O+I7f0UromgiDQh7P
mkQnfpzyLpWBUYeFmfTXccJZ8YBTKIOII8dCXiklh13AnrPvvDoDpEWfDbilC3gtOPnpWP1oHO0T
BuY1df9jVv2AwMdUJJEuXQIAF7kU5/oZjgvQSyh30W1K4+rx/3F3HktyI1nWfpWx3qMMWpj93Qsg
ECp1kinIDYwi6VAO7VBPPx+qq2vIZDdzajf2L9qsi2RmRCAA9+v3nvOdpCrchhkZeo8oYAzyZLdt
tlwmE6a6I4yRbMcWxY4Ay4q9S3LDPvaJoZpYt/LyGOR2YJ4zNTDetzJhgmApbQU9Nicr+dvsrGC/
J+SZpF05lbte5BlsrTWiP05QaA5w4pjVDMt2E7L3r5ym82W3GKb2jd2Y81SjKcLGM9SK+rtq5e65
XjH55TzEQXPMMpgXlxXIdpsZKg37yCuLOohkKfVmN7hD/55wdx5YwI/0UbO08f24HnIz2OUZdBeI
7XNDRgV0GwSPviXVQcu4AKGRjBOuWNTSXqzL1jprUpDAmuluBRyL4fzOWXLLOuRSR3eqo5r0IIcz
/o4S/Kz589SBnOXEKazkgflbfYNaZHDCVHVDcaHGxtIjiZ47O5TgsW6wjbmAaoVrahH0k07F/AHo
TFzDX3ysTAEw79k+FvCqniYIbCsU3rWAeK7NScKxy2RRo7es489D0XEvUmbOIb0A66SVEwgvjKMW
9KzeEtfZALx3Py79MB1sRiJwQBKjIkjCx2vHAwZehxY3QLNTMs4jCDZ7odHZuwU6l0llCumvvbju
jt6hljMmQhK/q5kDq93qdvTmRmNuwQw5WcZJo5P1HW5HA4iTto7ep9lw+/ctS99zZxQqi3EQkjRv
ZIN1lZrgfKLSn9fHJW1944wemLhpewL7gBLWgtltNV7an3zVkAo5NIVvHB3YOF9oM3CtGgKReZyG
YiRky8ya6SBl6QNjZzIX6WVXBocBHTPHqToTHpCgZH7spVd/SXpnYp7K0NKLrMRLjhP6YrhOHPJg
5/keob7W5BOK2zZEvBTahncXOLMp5Lw+dQ887cq+oFrFZ9ePjvvCSagFrusvtcOJo5z8MwYsJCRJ
nTNv80YiACllBFKY2VA5fHEEtrRFTeOmbLjlIVgja2akmCIy2A5AVzrabT1uJkNArw4akn7LBCDV
zD+5kxJuYeTVJWGEU12STOlBQrx0sqB7mQtbwmgeS608U7mVtC2w4+8LVmK1ryQcsKMc6d/QWWOM
ukvXiRz21NPRKdV8TvcAE9K1937JDJAZQtZdMj6kT1gRAfMtF4XF+/HKGbR8ZyWEXLoD8gXLJn7A
yBTT9FCz6F9HZOEmJCJxZrXCDOhMGxpuaXGmgloQt2rmisvZSc793Ogi7oEZfgQX0oBEXqZ5fEu6
9pPQC9IOmnvcH9CG8Xq+8ieIQufMZiigyAk9pZ6eym4YHXXWtWzEP1iLr0JPiMBZDa/f0/gw9nMN
VIo6zDovLkD5dFrNs1pX91jUHQE+45A+NDyzFPBCfDD00ontHlQxEP2yf/i1EOW14JzNBpMdb9wx
kcTr7isRRymX0h2Zluxr7J9haZrZKfW8gLHOaJ3KvmSIUnkzfVOGd29ISLzXeky8uJvS0rENpsP8
/1evzZBq9e2iXvejY/aw95GoJQOMo7AqA3h5LjvWjDqc6Xd+6BN/Snad6y7uQXqTRSR2oINwyEzp
9keQRARTTtKntc8pG4kcYS6g4yyK7OyCjU7c9ZOc3ueeOa3XRpb7OWEe+VRQxDcImGeDiATmGa4E
nuTRoovtshm7fTomPtgqhj8MWBjSOHGXzLK5BrqXPmWOvXm02zU7zdqIPHxph+khw5xtRdU6fLWQ
M0U0dKsnRLDqlkHHFh2TzwJZywi6XvSD5xILtaQDaSQ6l5ovyc3uKFHWlojMxPV3+sAUDta5mX9a
59UkvoJiW6ueaTrjDO9th8yg1KmLr3Kt0Kcbi6XfKpB7TMKR0433qQC4djBsZFes0En90Zl9HMd9
PWkfUa6gLtdFCm/Ub+yppslaajS0rSIx9nJs2w+5C9PiLcX9T7qh7Wt3oY1sgIjN1vijbsim10v3
3cPeWZIiwBoL+ho70snk8sfWUBq7yVvHz10AkN1tsxc7kd6+EuuVa3uMm6U93kwZ7/nXD8JPUtzt
boRHBATABi2CBv/Ht5XSMzFpHc57RCjNNZuZ/hikpGXYwFne1YzuDy13Q0iHoYNqqBLr0XGnJLIQ
7YKOTMciNCeyXH79rl6LcXlTPBpcI+DBug5a5Mc3NRAXr+DJLiQ6NuLcBbXaTgrkSqUsiuHEofPk
oLh5y4WwPXnfa4DxyGPl2xJ4cMP60MJ+fFnXGyicbIZZfUNTO+t6Ks/C7q7R0iMnwe/MBI3T8zut
LbNza49P/JrqpvShzQnX0/edZgS3TqH38doV1Eq/vij/7t2B92CtdTHW669vIAMxdMEU1Nizwt5M
BSRfcOuyvWrMUo1vCOF/cllS7UGIhpUFxZPb4zUxIGXInFpKsGhrg/1Z9a1NHmi59PEw6tlXc6FW
a7PajDO7IY611umIl43HdDpZ47/6sT2wRdg9UU3qxG2/stgMILAmW09JiiV4/b7g6E67KQuCyG/X
/OuvX+vnbcE3EUIaOjJNzMevl2aakwp1RbruLa/hYO4hDw2r0WImWGOsYuEp0mflc+JXFANvvPZP
WkwU+sF2xRFG4tz3Xq0P/ewnTJ2458ERpveTZADgm6O0QtBefWyQAJi+cUOZ5uv7HS89HW0TyxWu
BzIqf7zfDZWuvtkYhGqrvOQbBHCUsijpdTxYkpreytR4UsLVR8R/BQGQAzjrAw0sjvgcifRT5dtU
JJWutiRhvRqcW10rSA82tJU2ZUE5wF3DJACsGbXiLinhVwP0H7r+jIys1N5yk7y+hnCRDWYSvrMh
aLhpXulZh2LmLmpTDvBInT9z3iEMq8K1+J7lv7pohTN9aP0WlaVcWNOkl1YoxoiR9rvNIMv264TK
GukGt0K/UkqzPs6eyC9/fZP9uze5FR74FfkfWu8frzpb/SwlY+6DqmvP2EMqV8uDXhNqFunDbPRn
zG9qyyr9kxJ2+89F7Ac76etyjUvDLQrfDh236eO++PFVkS/pnQ3x59DUqj3R+WmozGznnhotiVcG
5leWm4zHbmF4Ek7VdmCciK48Mox+y+73uzn5+3XW1S1AVqwvm20U+8+rCkhoZlbrjJ8OiQGUO6xR
B17UfW9eOYVYvcvGNWV2sXLmK655IkiUwoGXeyciu0gvLjymGGGAK97a4WQMxksErwwx0JB1xsXY
GLRulrLf8ue6nmVcK3rnmvkK2Seu5fftaTJZzsJapHp6NPsmuQwyBByhu8LPjprZzLoricjBOxc2
69w5NwozuXRWGmy7fqK/E672BB8hozNnMmewNFIRarS8FLScsS4R3/fPDiiZ5YNYcz2/qbuKhu7c
L+tFM2aBe2HZnW1dmwNCpszJdfdScKuVka1S/HggujkYI8d1Hzw83sluCqQz3SJtS+eI9iXOiA4j
7OGN2+P1UuCy3eqbYQNLPyXx61V2KYeKfuOsHzAe6AmMgQAuIH1PbGZC9yBaWS3ev6h1dH/E+JRa
RPQUpU9YXJKp8gJO+ITmp9W78Y1S4PWuxzpsWh4Ypg0FgXz+VX2CzVMHvibINyvJvxgG0WBMLXha
xeZUfWMBYSN9tSQC38CLAmCEow31h7f9/XeGnHrJNdkDFj6gXPPaTQBm1DdJ3RbfpKU1S2xhikDK
laMOu1Ogjh8D5WfEDtEgFDfLiCHlUCjh6B+Frzhvzw5iozv6bykoX2R1kQjEaF8UaJKMD7VWlfP7
Ns3aMm4pk+e4aXrY4I7PjGPnTDrlfr/AQrpKavrtGFl+v+A1ELDrVU/EGCmufh578yRAtBaTZgp+
zCmMR5WJeTn2PcEfD56B/DucWqiZoQ3QxDgGxZZ+qmFp223j0Wewwf7LUIPkPQjDA2Qn6MpR2FXD
osVw2uRHUwrjoBtu4p5L8ki6CJNWokctOGGB0R6iCbU/oS1IuDuH8Tm11YGJmEx3fbooEsQ5FZAC
Zmlj8tAztD+49N3LyFlk/WW2dNK70CB1Prrkpn0fdCaGlLbV1DfItl7YrMFUfmHXoOMjA0vJZ8Y0
ZksQama8X+YsB5NNylpHppgjToLjkzzZyhnvrbpx2dYSIoZPlpfMXy1WVpb4Gos8iXZKvfetKphO
E9NDa8eUun/eNqsgbFGYppGTT2SLE1ZH8KPrl9Y3ozR1WrHZsLxUqCjfWSX4/q9EriFH19LWrdpQ
JUmR4+wmxDXMiGhhCMHNcrnQkCyiqp9mssF9vKUxcpuyRYCVqL3tSTj/spvpKzL84RSD9Edpkeln
hGPlhdwilKy6rXkXjm6xjXLF8a/4uTi4HFjXSCde4oNPIpIZeqA46We5TfKRDXKtt7It1fJDPXtO
bOZIb45izhfzEfMsjmNzHcazbXTZyRsJjojR9fn4qBnXsZ6pvPGPJbQjuQOf37/M+cjcURqCc2QL
zUELEcAxd0C4NkwXLRtQup8F1K1Q4/xLaiXyxuoiVY24mGAntmd67B6GrMxL57C20uzzkFd5g9V4
ggFnGJmUUdEZZIdxMvLWiDWbryGtHBsp8bhU5o7xpbg1M8Tv9HWcsthpRAD2sSadpYkst5fvdKTO
5P1Vc3bhj4WNfaB1nZc1N2n040zxm2iqiYOW/Hi+q1lW/Rt65AhhxKrdzrXXfeL0T0AinSlY8Lns
P9vF6ph7yijOOmSJgHwG01xGiy0bjwFxSjY9zIggMitJ+TSliSnivLOys2sURhFXAymrR01W7wM3
X04VMoKvaErak1v4RKPhoSjsfWPBSzlVFt8gAJMSzSU+Gb/ZgW+Hip+D1vZDJoXWZWY6Abv0WCEE
Hpy+QamDP5biG7bCedRagM1ZororMTTzvW6UHkxL2RiXSDoB1y+D11aXNC7hRXqr5yX3k7mmwUU+
9jmxnQMTG0wsq/mhMsgFx8KHgTCkocblrpAt4ikzSA7bdZSxc+wWM3lXHaS6jpl3UtxqZZkux2Wm
tYWQLTcHRF50OrDw4FOAMJ+QL87cNUNoFAhWoWCT83gJdPWqyZYphnqZWXSiNdI616Z9tmmSeWG9
Os59Ns5uF1m+qC/WzT0f6pQI1s4r0I6E7VxMTxNygPrs+6O9q7ACPEtq0ipaFq0iNbXJxXwaCWV8
pqelk+FRrzZZZgxlZIRtK4fpFBDauBBH7kNLhy1jVNmHssDwciRyL/uAiRELTRKIqT2Y5do8ihxd
INA2jzCvimkiIHwUZgQ6cos9TFmWCQZCSf5Ud2CG4J05cxmvKH/2az7LNvZk0eKwIzg+2VdEEpNH
6Zv5cjfYsgtIrHTt26oRjDgqO4W1nbgOISE66a8X+opWOtpmOaRFA96ENk977gsJmHguR7l6zcmw
h/V5clPKEKvnTs2geblPJYJ85CZIlvIdLXxcieag8ZCPEwP8emkWEdWFZe6XhFYo3P3AiTX+gBS2
xkOQm+pO+8VNHWok4qEAfSCa9+6mYmb5Ibk6+Sgls/pIgShi+fEDhI7D5OAxWfL1YYXsJcPZ7sx3
1G2EZbsjnYgTpLBNzx7gV4pWp6vJS2CKSPvK1Mxw1m2tClNT98oLZk3zYz4zLWUdn+f03hF98bWb
VuOu1Os2PboVBE4WLE3JUMyJ4TwZzFUakuSgBJ3hL2j4Kl2Cs3qma09GUeHSH9Hz1TGjTnenL4x6
RGnMzVPXpOa46/wKVTrLFNNmGyYhfI8lsNfbttLFXgsQLkXrqmfZcRkolUKE3Ia+1xpLcjhlCmAe
yhGb32TNPkED9pC6e2JLgOKnvVm/4HjrEcSUDdcZhr9KkNsQeosk0YuxMJ2XDv4C7kqFM2w1gbGz
1tXtF58hLJm+ADSmyF1mxyMV2Ers903vWzN6azUat7NJYOhD4nLrRXh/2dRAOdHbCkZCBj0HAcYu
zxNxb+aYeXCAj/Oho3roWcixaoUBojauyEDrEyz+Km5L5n7XQY8AaMelVR+tpdCSMixIRfH2GasE
PzMZAQw8oZVx5814Q/XZ1Ht207ZLTmNGvuVFCpn9wZiWQJ5o2+P/ol0/fCnQaVV4L9pEv/N1acee
CsDhIUZKOyRgBsHFRtM+DU5W2HFaIWbbG16K22PxAWGhby02h0dAjhogQHFfsCp/QfudZ1xEyyZp
kbi2z8h3q2y/ZLN69FIdPL2xBvMx4SuNU+JIPhUcFNd9m8n6xRM+Ir+OJ1NGjUB/hWWBcKgdSXpL
xeJU0AubpszTUXuwd+HDINcpGjF2EsA7tfOFx5GHabCxjtNR0zqwPAOHX07DAL2uTaLb7QdwvQmz
W/IYvf2gavfdQNqQ2Lt2zjpWulbPz+tB+eCty9Sz/QTr5VgX8DmBAVUneP12woOn+NaGCv52Wzvu
ZZPAkox0H8PDPlltPJMzscfVwZ9NpM9aPuSgeRsSP8lnThugg31nl7sxm0lp7Aq5MGd3A6j1BiDF
r3MnWp+4p8a0D/lceB33eU9Tf9U9tJ2Dz30QiOadIXNTIEdT/cPYLOVKxejYkTS3DhHxBylpREvD
OFzmA6mFNq2zKlyDdm733Ck8QcLiyCeLdRkvGee0nwBc4TwgEWt0bjSGymRfZYtxvSKoY+lZjWbe
VZWRpZfVUKkudMs1+eiMwnlpWU6ccJxyp76oltG8xQzHgAfz81C4F1plVfMub9o5P/uA5b1dIVms
L+FiNM2GOM2bmP0gI8l1Muzkmod+9dHNjTPZOixaV0RBqiujWSrnQjUU83d2LTQMPykwz7Nf8SXt
tqM0MpLUH2Vk6SjL9mbeOYQ56CsRUoVuo8PJa/9ZE3OqszghgQgrwDD+MRUFgU/lkq0a5QYwoHjR
UPdWoce4JrgmP9fRd4ZprH40T0W7kvbpzsRoWInyY6rqYT1SoCf9Fk+r8P2DfiDx1UTdEKOXbLTd
OJcUikLHrPLcICFx9uVYtwbblkZGYm/awxVIaU2eJQ3NT6uuyMGyVJt9SVy+a5LOUzVc1gYy2YuW
GCz3BuSRO37ryZcc4wIZ/3iq8tW+0/LMdg5UVD2rPgq3WRE5XtDWprQJPhipXR1JmdD9kN9i43Hq
gd7cZn3qM4IYzUqPPZoWMs41DXeb7eQDeae2CPL70p1Sfe+yeo2nyS/JbPMwY252yMYScVbkurzJ
VvQkVxJabLnHHSKmZ2MUDcfxfiGUGQ006B+vJO/mwBCvFvcleGzsAe1oGYqhj9sve9eVSY7EcC59
RrOpge0SKaZB1d+iUkHIr0238Fk7WlokP92JoUfG7sG7myJrYnZ1KSb6pU92atd3qB/xuq8p0gDK
y0w+64vIgv6N1t3PPSQqfXQshPe5hP+95pRUInOQBwh1QKpWXwOB+Nhg4APIP2O6b7L5LTjv1jj7
vmMDOYQ5ARwRH2AHxK1XnfGAw3dJDok65EsxPvZWlkXsBPn9lA5qz7QiUVFQTc9wZtQV9e5bvvF/
9/I0AICL0TqiU/nqVK58lw5zx1RCzybkS6rWQFz0tt09THbaPwZGL76VQ41yqs76S83Svv26PfL6
9beJDf0RxNxcCPqzW/fku64A7dOlI9weoE7OZCjEwUUXhnrshPxpiKF4tPHq1+OmxkNTT23Z7n79
Bl63JbYuCPMZih2DrrRpv7oADdWEDuR9AReGmhzJtThrWaM/BXz0S99V4weHvfiNzvtP6ITtVWkF
gQtzGVdS5v/4sQXWPLNLyJbPtOKRiU12HieSv020qtlOJ+r9KHLfv8gN4Bolsu970BLyjf7PT5ce
Cp7zOzwBhLFpBdvff3fpfX/CLMw3c0gpQ+uz4wJ1u9AnNU4RAMR2Jb6UGv8+be3uqwyEfgNSZej3
v778vzeOv7//KaqAmoAuYA7r0iR7dSXgslS1YSATzxdnsTlHJZTfetcQWdU57TTeI1sxiQejneJs
Hrnhm0klnu1LYE3DFTl1RnlV2pNJJHYV1P23aWhKTMCZ64kLYXvFeqQEWMZwDAYIMGOzlnGSNB65
sHqKHslOXRZcrSPpoyB7zYq0wSj1i5V0PvTmbVpP+8bW3eRIvpUuH7Bf2PUzOnHfvPZzhfHCSROy
7ukBk8RsuuCpjqWnJjsqXLoge1UHdomFHMdhOGt2pU8Yhp36icH7YsRKmfIr1lF9CKcO+SAxXobx
nvY72Vo21JTyopBz4rzRJf9pMOkZDJYByDgWbBzHs15dch0R7eIVE84ysM67GWXMPqn9dee0ZvaY
IwS5dMp6Pqta1mFNdX0DTd45FM02O1dLFtV6Ux9/fRsYP90HDMIYwPmQLz26bJDffrwbh7UhbhAO
3T7ofThPE04z7TxUuaE9DouEC+AnI85IdJSEnlvBWsXKozK67uiX8YxUsEIfZxIquhOytkU/oN4x
2tAeaXp8xVvdP/rY5sVxIX8rjadKaz94xDyg9pxn57lRju9Su3rtk9Z3ZX6ecxTAJaDcdi8kQdBH
28RaEKrWhAQ7mxXiDDgZKF5kslAbCtp+cZklDbpBVYzeBXaNqTrT/XDsu8nK52Zf2tBl3/nkbrYn
ys5BZ3xTp/Yeo/ukhYOW+5cF/EN7xyTVeTJb8qkR+rZzR7NcJdWHxvCIx1gGW3HSBeDR7euc9kkY
YIXjiDzSeoqMYXDQXBjmkN8uFKremeMPA2/A02seL3PeqRvX7Co6iFXb3dt5o7OhIs9ZTi4gIPdR
GXCzhJZbiKfQZ7gPgi/qcRpr61OvOaq56GfaLzGJW3aKBNZM0n21Ml5BId2jy03Nel33JfKy7Hoa
OnLpCHP139ujvZAQ34j1vufBqqIaiIi7y6kN0r1MNLpqniOnjPOcCvAQ5/gUEDMwDGNOGIzXzpgH
NZF8HR1z+JBdzLewJjs8hkux7x1ffWpKYZPTAXLlPBsCUaxK836v5iV3yVFXfIRUpS4KpgleJwIB
0hSDRBpa3IOVz27GHMTNudbJkjw4CIrGiGyeevoC7xT1fsgNAJsZ2uoAmodBmGZdii7Yzq9Gr/Fa
wi0P6Ff95bYper0JSYDsnzmSUQgjfUEJ1xdmOt8Q+ta694aqyzNiJgPluO+WKbadTB0QPdXGPjFI
oD5U2mw4FzgB+dAZkLjsGqBB8ozVHQZ6UPh2B5IBGhXR38mLnQ74ocplQjA2QW089+Xs9WeyKZEy
aW41PcqiV0QZ6qOu3tjFXpdKAA6pe50t/GYLT7FeDTkhnjd6mq0CuhZwPDEH3d3akfJCObOeKm60
vzjH3V6POmGDevF9ELL84xJBMarUaPJ6ltSsd/CLvyz4XMibFOnn1Ommz79ek34a4vJ6oLL9gOAI
dAswWH98PU8LGpLOS9xwnoNxxuvmm1QE+w4f5IdcQpYBajWWFyoYa0LLJtsIh8CcD8za/Q+mKz4V
nl5xQHbt3bR6IGZhR5MWVSVTluwClHIR9VB9WTRjRcAucuGB49LTrz/D67H79hH4BKbpM3oxfP3V
qsr5LEkVibp7MYN9wW1g7D18UTvXW+m5ChMgmk4b8FJhSzj8+qXNbe75/c6OHmcLjQO/xsYOi+3V
NLauFbpIRbZylWG5Qb5YAMjtpwoHWaI7KriuzBE/EXJjpK69K9B6aFO+Ps9D66idOUABjygaITv1
nLEx6lnKPHLIxNsAfmv94pYu95q70pjA6ckhJsLfE6R731GImUVraFdN5gVgc+g/jeGvP91P9z5D
AK4tqhGWIMN6XbZo1ZiIqiZQGJJfvnPp93wTOTxXw8BoihJdy9+oU61tHPfj5YQ0CMQeFRoVIzXz
j3ejgDUIfki0h2nR6XongrgZX0kodTgv2QjsbsouPNoRkjT5zjXDnMLK2tKwLRXrQ1YskV3rGEyg
cwTMdchvfKz60h5QIGSYBjiP4UP2UrJdsT0vICukmh+E2WbihJSIZn1GtmvJqVg/4uaTnFkJUTsV
aDi+NJwO42mbHrP69o+/X+q/lFf2y8A9yM9f6oZIKZEO//iPAX7b6/35z/p//L8/Xn8Lw/vhPxgb
MGa6Uy8dGWK9Kod/JdNt//J/+5f/9fL7b3krkWxjHP+pNdh+/x8/d/1JkmR2VVfDS/Uiuh9j+bYf
+iOjXv8NjWVAHtnvqxR18J+xfP5vtmXx7OESf5VJZhNkBh6SfHrSFhGdOyzbPVjI9O9/s43fOPyS
30XUEt1OA2rZvz78H0IIrhuXUbzUf/z398II/v0PtyzPP/sDkRmca23GfK776pbFtWJCcGDyUVpo
m8K+7iCoqHFg+03TeW7DmVnKR5vvgwy+kTSSkL27dMO5KgdxpI7J3bhZZjh9ErBUXAnfvez7oV9j
NJxDBqJi0d/b5oqSXLrbvNDypyDqpQwoYc1h2k2lI+UOXnYb2YPdvXj2vC3QWuDt5TI4O59Q6hYz
VEqfrRXTeGNXFEXhTKe+Cm0jXx7QDhOSnZHmQwHQrunBV7a/r0dKsMieGusB6iuLWJUpxhU6QCpU
/+AT8eC6mOaQeYJf8voHy25xZCK67bSIuQydSrz7GpwSuTLjwu+tWDMcCgZGEzjI8Lrf1ZZtv7ht
WWvYEDpsrzgO80jjHC53K5PxDwOp4wQ3WAMHpiT3PCLoJ4IU8CM7BL8EenH29aZR11i0cbl5+GyO
VldKMsSYuulYk03xvlwtcc5QDs9EcZcwAbzCkteFi1CeOFnf/aCVg/PU9xYjp0Ut9YW3zrgQGwQ2
6McD9pe4CerYmMxmiTgvNgM4dOnWXBtzvGUm2DqMedvxoSUTmNGbWBZKOyeZPQowMFyh8nw+RIOC
/xteUvtqdubihkG+9dmplAWOClYa9FJMHu6uVjLorhYhDbKKYG3y9SqGXdIoGbYH811tj76Kq5Uh
tQmyKqV5mboa5VjX31Y1ytpABQbfc1pc+mQTP7UQXB5dc9CdWCW6dfaUcimfs4D5ZFsOROVJJ7j3
Cq185AYv4YiNbjLHPliwMtaSrUrt4V8AiuiKrrsu5qq7BeG4XpjNCjQ+wDKidjY3n3/SvMZ4pIlr
cPs7hojLaSJ2Rzhtm8ci6UUTCU184pxJfrvWT8aD7WrjJzQ4UFv7eaApVraCDmUx2oML6pKmcNiQ
mpWHHN67D7q+luQpD2q+Epv8PxIM7dewqAt0fWJIrqZ80XkNitYqqvC3T5EJseAkK5cBFKnQjGXB
8qDJ03xV3ELGAGOArZrhOfcQKUD+mjKCG8zOnqNJ1CChUg5Ka+hoLCWhJC7n2q80/JdGaw83Npnn
WtzM00ii96xnLymz0Pq06s14RfyIODusQEfPJCc3dOth6+cVHKfOgJ2bE1QN2e4dyZSCzpewqsjQ
CdIOV2VdLQj5dgMG/7tcJ8ginPKkoyOa2dKJZNrrdzLT6R01FsZAaeWYe1N03FlktoFhvx/I+EV6
aHr4+f/6FvUfN57v951//HIj+z+4RZF+Z1L7/OdNCizpy3/V38iP/SFs84+f++c+pZF1aaA8Djjk
b5sBKYL/2qj4K5/qCbUamhukSPRS/gyQdezfUPLTH0WnRFgMe8mfOxV/xeZFUYtnkdEP7dq/slP9
2AnbNNp0IamTCdNytwPGVsl+1wnr6qlGrSE0dIvkQQzJp7lrypBmlR8OdebcoVRk5sMcm4aZ80Yh
+Xtqxv/Udb+/OJ1Hur/g0PkorytJHQKCNCcrCeumzRhcJx6AnpXhDAdyUJ0tpMuwm9zhLJkK3GkK
xUamMuNQ6lN/ZkBZwDjgjCcjh9Pz5oIqL4aJPyRT8nlc8B+kKabaC66uuWvoQTN8LZLbzJDzl2nS
6nkHNtIOcfAnseic4anTiZYgDkMORxIUzK+ZMU4A0tAWpXt8hQSUa5lZx+giGvxzgCeTJA3u5CKz
j8PKTD0kuKpJQwC+8yNJN3tXK51PABLJr8qtQWUUA6CgwqBFs9WBVPi2DIZz5YPR+wM8/ZcKx/9P
n8qABvKvnsrruhtSnskvL1/rKkPR+s969PT1738z/vmzf1SQ1m864m8SIhDkBaRc8mhML/3w97+Z
W6qthWIf8TJadX9Loam230qZaP5G/KqP9Ix+OWd/i+flXxWkTgVJE52TJvF0OIH+ymPpBVsH4X+e
DSTphGmQN8iEhDXDdV+jwxmvtWY6ILTQvHr0j9jWjEu0JC9Zc00p8UyuYUijZ0Hi4H80+uaZxtTJ
dSf306ppy6FKu69Yd3HO+erWpvkswx7m99FC+bY4HRUdXBIks3tZGKgSjTtj6XeW097y0D43TmPf
1NOQfnOqtmAmQduO6XnmEBs999d1+c2yZtheJcw48GbZuwFa3Q1BezpA6aWQ7wpixhrGtE6YrzLS
NrkYVc593XYxWoVd4ctD7eY3Yh5oBqBKMOYaiYivrVfpkgVXTCthpdC/RB/CNjxUD2XdPbZyvRqK
4sqYUnFYQRdnlYbHt4pk5i3I7yprSwAudjPI1hvHSc0rD4EntvOTDMZIDslJdeXDQAP10NtwgTP7
C7wIfKVdh39Iivymr9uXIKCbJKlwxwQIKjzvy6FVlzgRv6IL/Nr62rFxqJiZET4hOoilj1qQ4tja
K+Ez/K3Q7xkoTNDehovstH05T09dawGtXN+3RfNiEVh0qZXV+6L2PqygXhw5iz2G768VXLTcsNLd
vGh3VZZc1BVOV0bnS1g14HoTWQbXIiOMakiqfK+abDc1L0mn7/rmG8rnfTZ4/QudPX1H52MO1769
IjowNIBevrcwZmD+65mKKscMh67dOfRyv3oS4Kw75d59apbv0+6+NPkDtIAIwbJ2fkcMpheVQc+I
1Po0YJOil4vlDg8iYjSM/Maw7gP4tJGFuCp0/KUhw6i77jtz4Iy82rtxGcZDJkHJJIbb8Fahd5hM
DdKudOM0L2KrHjxcFyDlGg9SJwHNxmGeKEBnwzZDLAZtbOqaH2oVxbLeKqJMp/TjknFHI/yEBzV5
t44m4lmM/oXma348kLcp+MCxYa5maDI+5ymQ9k7WOWqkRn6mZXeajLU/Fk13TDL/muj0G0VdTMTC
eFig1kJ1x/eYE/7izh6uuY2aIlnfVYPwzKw/1x44YJuRyn9zdzbLiSNbHn8VYjb33ojBFwQIWMyN
MBjjL2yXcVV11YaQQYUEQgJ98HVjImYzDzHrWd3F7GY5u3qTeZL5pbCqSUGDbWV0eZqO6Ggb91Hq
ZObJk+f8z//AaOjWmvOJ3+O15j39i1YLvlRh9rdhzhtyIyIeEbV78Cd71Q+jIPgMhQCkI8VyoxRE
16teqc0yB4RFnW25OnrUy6UV+8OZPY1I4zSq3lo/G1by5S950Jb8KMqo893iqARtTT0fLbVGfRyK
jo/MQD4/ua94dySlv3h0a+vVp2AJzkfrz9FYO6Oku0XY97I4ovI7yFet24q1prVpeXXRqxV7dyP/
AvcErzNaU39utwp1f9IgC2zmgXVQ65lftaqUb5dK9a/DKvzq7NxihZZktv2lAq9uMz+knI5J8Zt6
AWAN5/3ZOARNOyovVxd6dTW9qFSq9OmaVKqARqdUBgYzp12aF7uOq0OZT3Njy7pwl1TSFvzqt/K6
1KlD0n87Hq2NyqpXvbWmlXqzR1Z6POTEJkve1If+WXkxPF+O6lc9EB+kri8Ko4LbGgE1e4jWUD4t
R8COXa88prHjQjT+YItBEQ5TdOmSG1OZW1LUnzmEJ8v58fnUr7T1OgUpLrnqhjeBH9LVpkTCLYii
oyBsOAVz7ttXkWXdWwzjYryCaklbGnWotVv2xGkOtXnhjsAA0fH8NbxFzRBaNZhhgPL7bJmhG7Jm
aflXX34tQqzfqGnrJV3AauHFbEqAkEq/qEFv1zG35cVnWonBZU4+CI5vl+7S1atlb/ZLaWm1C+s8
OMPR6mE+XjGtMBTqJIug2R/Sp9bT2jUdRjiqFSpNZwyHmRNCMjhbgLGprr8WxqSWStWvK7pALGk4
eetPXMDe5CBahIa+FKGXqoTLmyHFi4BRl32Sn40x9HZkQxowj3XyFuXd8B+SlvQA/YbBvR1RbA3l
JfimaP4IcREJrHVzqn8dCipdi2twp0qx8jr/y9ISbcaW64tZHuLmQmDQe7MdzuaPy+K4UVstP+e9
+rxVmC2/rKJ5Z2TPzugxBjKaxPcaZsTOsLrgSl9281f5Wni2tsFBL+f0XQjhWWjRgMHt0zUh3+jR
1oXtujCIz1tNOrB/qAZA46oQrKL1b8V5KbzuzcD90jpaYLtgfxh+WgxXo06Jzoxf7dkY9ouR/lm0
dG94y969Pn/MV6B8jbjPwkuzsq96UzCkEN+E97WF1S1PgOIVaIVztqoP3cslvDUjxwoaXn5Yb7ll
jkJdn91BXY60J6cSApcbTr7ArAl6rvrFdaegSOxIp11yKwwLkJ1pMIfkC/atXZzeF/PBte3p36BX
WzULQBzpv1G+smG5x4+sk34azcugKed90K6Vhj2F8C9fsD4OqyGEFrreh0qArizkl7uFwnL2AX5C
6EyLK1wD2sANL8fhrAx9xDT/ES5zwPQumSHh6oPxq9otX6y0etmafiqC/+wEvXF0XwFgCVfvZHar
98b+w9Ia5W+HE7tySX+twofhomZ9AwTq3IT6yr2fOT3Xurbyw6Bdr4fVX6ziEko3PVqXoZMO1ucT
i+LfKcUTl3UK+Juz9br0VA96vRuHYwSXYpxvBqslqxWq2CJZNRTmRp+HQHYNf5YvX0ES1GvNinp0
FVjLQgt6rPFDbQ7We+hS9tQsuM7kItBGzgN8SNpdLZ+3r5x5DTyTCw6bFmsXkR3STxdIPBQNFjl0
YKP1JjBlOJtrvbFBAn1JEC2AtH4yCe4EyPl6XVoZeUiLBuP6GHKK0YTiggi8FIYCs0vWcqSvFmcz
d7T4AE0jGdfCpNePlose2TDqQy9nAKbPRuEMfDi12m6nsLCm16WxH7TKlRnUX3S6uBqyq7Hrvh9C
MGLPOoVAXzZdxzmvREYFsqEeJR824eyQIg/PuptoVnS3HNXo0Qd0egZXou/7HxbLev6KBAJkQ5FW
aRfXFiUbI728uBXRq0YeCsZmnZq6q/wQYFQD4g8KE0Z0CiPqV/FakWPrv4TLIamf8cwI69CuEE9b
PC0AunHT0bx2OFxBFmm7wOUpDnD1B30EH65W7c0e7AiXjstY5ct4ppFMxyoGwOvz6/aQMN41sEm9
6Xq3ver4uleDf7B3pnOG1QMDhopCOwonfQKcULDp8I7o11VaB9RdzbkE9x5+tB1adaHiSm3xdTRx
rulExUHtLC41fzG6iyL4hKrhsIxLNsUoVWLFEiecFNo9zdEIWRVuPKsKPaClXU3DBTSGPmExehWD
NPU+VMneXE/pegIH3ENUgmaXsFWrFrBuHU6JtRUt2ouRM9CXRa0J2a7zcdUDvUQSnuqP0hAeIWvS
iiAaL5F0P/e8uuiD557Pppp3l697HW9Su6jp5Y9w43Bpdeqz7nKxaI3n+geA2AuNTbju5SkhJJ0N
OUrhtgyNRWNSp6ChtryfzaDv9DvQ9+OHUsQPxlQkXR0P2GTe+1jJF5pDrwj9/eoSNpDGtFA9nzpT
uw0L9QOIXMJGOnX2MJFeTezep/U69M6q0zDfgD94clVdUlQzB7fxYTmMJi1d67XLtAmoVaxPJd2f
3VQX2MqpVXQoVXVXv3Cp+IVDGnYjgJRRWLnQat8oi6jfAacbXi69gKXP3xp5tybi2pwSNshGf7mC
eiDsk6RaX0X1x+V4eEMFPUxXMPLWl8HiIsxTGGZXWlYk+utM4GpYU/Q0Dj4v6xRu2PiCTlA/4153
rwky2wJXmok3u4PU4KoaVhcNGn7YZn1RpsNMfdSZheJwCT8VrVn+plQbd1xoSVrRojeFurFTIT4d
1EQOc94pwAy5Kq+vSuvIpdMCOU7NGXfrlbwF687VasYtA3zzmVusi3IlzsdCuCrOTSci9bNYLr+O
/ZlNBnR9XQRujjdGUUiNZRSFACQAeo3PYU+GF6TiXpXn+N6cXfmh3pixiVtTKFLswAdVOkREfung
99Nv1nX124A8OaHQO9AEk0bVZZj18Bxshf15bI9KNz6tN5+7sL4qeHAwWCeF9X4zzJAhpPc81L1p
px95GPHtvQft2COU36nE1Yv+KEno7Bf0sjxWcScYEQ8pzqEdkuAYjDgakOoSSSmtUiGiViYWxwcY
pEM50/PXRe1EcDuAyxT/4sPXhCS3NPRbOjj8ersJvl05h15gK6pSTUdJX6uCinailWF+AQ1KkpcP
AZctFVROqJwHiEDJ/uZDrOSdqUCEb6RA8WtVUKqf0HWZlseiL/jWu+erJ6Idc40A0UY1db5/Xy8v
qr4zvXtZZ4IF/k0EubbeXSMMR3AYepPnVydC975eXbSiyvTqlcKJXqZ/2I93lDVQPqHjPACWWrL5
393KB4uUUQVlMvmAYEEDP8+yvPnzImdfJoMOgcbm8+4MoJ55FVROqEUQbSIBJogPWKWtfVA7AXFd
o4PSu5v9etatXymeALogAk/BffyR13+RtVETpBvJBnh3c089f9b1r5/UCnBNiD0QfxAoTT4Ryjrh
2crz9tjst/d0/mddBOXqSaVWFVnr1OyXT0iK1mu1EmUp4vMOZz/z1ufcF9lh6i828ytbv2IZ5xDU
W62aTP97OwIFmUWmI1Av4fyBlNLBa8Uf2fhpwjZiI6jB2Hze3SIgsZ9RBZX6CUDKEmC2ZxXwjlsm
ACsoco66cIvfmf9TZrIyzX6ldFIHzVASRTjxR17/eY3Tn67pZVL2m8/mgS8yfy/4ox/3xKZlO4P4
GmmbwRYC8ugfJLesXQFbiWcdBgCQq1DgaHh6lHvg5Uv/o0BLbh61uVeJn//W9yI3FFDMoe258Y1v
68vkBhg/9/l/f37h3aH8uC/ufiXfA1///dZbcoQB0HzJe3Fdd3mXnXcisLD1il7fNHbfW/4bSUfB
jsBtjRxXEqLBd0o6SN7mwjZ9w+9bq1Ycanh+6w1Y9fSbb/eNbaABF9nkR/HUf/mnPnjW+JW3tstB
kW7I08KU2CI+YEa5gYyI0IpaRomtyPemZjKqGGVRoKAt+cXbXn+D4TidmGnFsoVqGWWfkqrzDUqP
kyGKMQtqt4yK6AogcW7PmEGZ14mQ/LqwX78c7sROkEcMrRiEaxCecTmCm06Q7WV7xj3hNGh0Uk/Z
Y7hSbxL9aqOCF65u1oyRWog6rIFw18EqQiUwl524rEBW2Rse1DDIWvVz3dAITQa3kSfmG8gdmwns
HE2zBZKnXqESMPPjOmbgTb3QmMhKxLmj5pCqV72ArwDf2O4SfsO7dYyh5ZtPybDjt6JmW/zDdYpg
GXBD4TFnfqum4dtPTyzA3K0ZWqbvGO5AUmYNLD0neBnwqahkLJLdP/rYbcPcEiaVY/f3OaX2TX1i
5WPT/3xOHDhnMh4z+959y+WQBpPo5kXfby9wTiBJ0Bve6oAGftZJ6ww5EiTLzeXzN1f4C83RqTv0
HEnozlEQ/WrkXigUgslgYbiS2KIKuaZrS3BjAQ3OqoFG5EfuwE4ECVsimICzim1axiCRImTuugWv
1+uDOY2eHIw6wGusUa5JqkQqEiofMj4vnLwzE4pAnxRNP3f8eQpWYJOiJ9/zpHkVZeKZJ4A6dd+T
jLUAYWcWiwBcqNzG8XV/6CiRLOb64IH6wmloGlMz98n0B5J/KTIkWd+A/iFP+GvSitd3fPbo1bse
ZqlpmAxPqEFXMNjWLDJCD7vn5NoRtwjJpgjYclZttHw79GWx1aICsXBlelPZXIvGBVmH+8i2bxvg
NCVF1HZ87NdPX9t4kjdhTcH0ta3UMbB703jDSHcWAtHj7Kptfv/v0MwN/nQ592xf2nUQkWQXf226
K2nS9lw/X6+LG/sp7RWADc4+2hvc+dCSDpei4DDOun4Zb0oLgq47q9SOMTCGRtA3/ESWsD8x20h2
0RCvh/JyOOjjv9C+dwzHWEg2mDBvMvokcvD69YDYlFAFu7jDQdrvy4tB0CJk122E9bUj6ZAG8aFK
cjpuQHGzAtHeWtjfWSSvCV3BMr61cfGTEcYrWMWREUuVz4uiYIjPOnub85hC2iAwokRcPOrdkM/r
F/LD939EdD6T3EKSpclz3r5DHriZDCRDDA9ZdrFdc9W3TMeRYy3krxSI3kTXdiKtpIYUCBdUA4aT
CBLzF1f0Z10dXYLGvpG7MT1X2iia4KXKLNyb7EQxiwqsZzcayPWsBHSyj/bRk29pWkmBGep+/08v
9+hNvv8jx3rO3fvf/8vt23I0WhPcPFl1/cg2TAUs49K/zHINd5020GTCsg/443Bng5cVHCnECca2
a+TOjUA6CUHvZR8zyRQ75dNDFJhdbos4DMkXO5EUb28VB+zXnTsIfX6Sp7zdOH+1J0/G00K2GLoC
RWwyFLv7W+A3s67khu3nHnHmJCNKViK75NOnlSnNXRVKJ2iHqI6tUs+LoT5+n9oXcf19os1xyu4P
GIjdm5+sCAaDwyvp583EJnX4x5uKJtEF2ZdTcYC0fdN0RaYnmVBhNQUA8fD0bjLohzLbHXNpp65R
+tFVc1xs16AQIHcvHC4zdgY64nYCiCYZcWz1j6/P40/66NqhOdiTU4TJOHnY241/E/3GodU9uW9y
1IecpuCFt+4f+bxktEI1RI9I4tUO+Qgb+T9xA4tg0R9v/55+GxIgtINQ9roVbLXTtek/GfZIFqzA
Uzv1J2ShpPujgghLw3CHjjEwA2t7YQp8bWabszLciRwXE6UGWcXCC5WeNAUWgJ5yruzwCCL2rGMl
w/TkDeQ5U3Ej6Pp27sZwx9JiUBF8JRUvJ09VXDEuSBbmIM4Y5rqnD4lSN+ZPwcxdujDOmKl7IkSg
yYPefiogWZ66oooIwpUxlU1DUfDAZl1p1ysoSdZpc4bDnl30BhZ27aVyVcWSAhVvLkd7ZCtYGNfG
2hhbuypRsK9vDDm9W1SRt4c8yfB2tkhFgZbh9QRrkVrLKi75xPwH9lwOPBZFB/asy1nkKFbpPa0i
q3trTuWQI9yj2Yd7b/gwXzk5uOlw3nHZNu8f27iaEvmQbadOPYiykue83cTdA8C2p1PS29KgD0PY
Xujxdm13aEwxG8kw48uA6DyRdXU8WoadviVpKnyLR2Nk72qayIeCMRs24f9ETqwKFR7GI7FB4Ram
V4emwiJ9XD+Ze9QhCoayTuEn2wxdY5IIivWhwtTdATP25rnLEGzVNPfXXAsIhxdGzztz+3Gi7E/B
izw/8DpyjcAiHPfXXPKf9r6H0v5WgWvdnQKTclb77A0IWxW+T8ceDODZbBlBuK00eskflI4V+VGY
cige8ay1rmWPQe66aO3Hf25s6PZDwd8D4FUQn49PFYMJ8m3nf//tP4KxsTJybX9FJIcRXABDmRjJ
rEn2kBgAzJEKAiaPdJ/z80Ac5Lx+lTK0UkHFwjC5FIyT5R789cw2PNFh3M59AGpoSOkDUfUOaWKi
6bcfIpDlDjwU+GiMuUbaE+lWUofhFCD2saf8vADHZklnjXBsj19o8hCsWnpW6wcM+3gQrGFYPhG3
RJexe6HAhDVXUz+S1vvx+To+2DbuN/E6355K4xVV1lkPj0tfPkmLKjKwl4FvmFIipSiq7BWMdZZI
iSdMsBdkFXrl+YOUCgRpclax1xH0bJK9L6rIJd2YTwY8kcn4Yi2oMOd3k5QOVKTrPlCQ40tD3S3x
iV6NUO0a0cDOnfpGOtUq2JezTluXThSSzdVURBSeI+5izLnWxMbhSN0RRP+VrEP/zEmYIwQ5TkRt
HEEFSvli4hZLUgVhRNbx3no5Ft2fglz6+lFRYdfaFES4uW70NMCfpwhP2oplraDCLAOqeNrnNwoq
ELjPFejo9CnKdaJAWpHP0hXY/r8/tLqth0+ts3/NicVj+igsvf4p/SrEXNJQjFNvVi4fR/Vvn9+t
H0fyvt++qCboWH3v80KMTWFcuCn5BM8OBGfsr+v1SF3ygb/9aVVDWH3ZLik4ok6J9oLuSnayUKCC
y3lcnSqPtajAujVMZ2hH8iVXwQajgwuKjfOtF6a/Nmldn4raawoMKIM3Um7hbtVy9OqTsBE5Q0ob
pRkUDSF/XemiUPf1cs9MkWySzhEVBv/SRw1yPl4F3rYV0CpHVkLcZUlYntXbb2LNtdm3UmIV6Jb2
72klCPaNrFN2bvieue8sOlip+8IIwzl3hL6ZDDK2Ewp2dNt+AieQ8hBVBGLbtP9yA3O1PWDRmzir
jtumj8Mii1WhB4AqsnZVAKRhrwYzKJkGcGbZlXAREYn2JSWIVmOZlXtJzD9lHOBLUyA3NBx5tILv
MutSuDL91AKD/0qBWFzWjrGSnW06W2eXfGOE89RqUJE8v7FDK0q7JnEf9Kwa7jre3Binh6xAxzc2
dp3WfPi7qfCPivz8TbQ0wSlE/jCZs9gvVRHm73jOAJ1IcisKzBoZTSOFZ6so2CIEiEN5sCqi9b9B
4ECn30Qvbz/xSc4vDNlWqDia6baYNmwqrob39POJUjUfRRX4xgci9yl/ClLH7OoVOzoNuoK9R4Hg
2Gr6tiuF5GlxoUD0NBUjjtlCM9u2ueE8GaKD8kaSMBGa6AmbWfDCHMiHB62WVYi1Q5B46WUcM0dm
HfLHsQjDS84lDDrZx/wccrsmcT7w5GujCnDXJ0GtwLprcsdIBhtPo5Kq0gO9YzPearoAKuVDVVNR
KH+kkWDGQW9QUwcbomV8wrUXeHPJfEBYW6YxbzK3bz9Vvv+72Df7rmbVcokmu3CFA3ki5kmbxKOP
2xdE+33KQAS/WHZCnu3xP0fmtn/VEtOY0BdKYbzkm+SXhxLiRFvsdcqiZJ9HuiTS4vkhRWinAvnV
cnJdw5kbROOSYQpTUlVwNLbh3TAnAMC2Be9S8EWvDj2BQx0IDrRtuQSmkx/fvl1uUbBvDCNpxMWD
ZQMvjGLcU2Yi59OLx6MC+1bn77Ph9vHJJau/Kbg+n/fPgWh1RpavTV46ftZrtl/b9PyhfMaowO09
REEKxKipQHk8fv8fKkJXsrk4HkT9eeviR53L/4vFcOpHT/JWzm4iTjklMBBx0L5h+E+UeydCYxcs
+eHtRgg+tch2ZKupAmwpRouZl62mgru24BMC0IJ5k0SrSF03jRXXwX3ui4qYRjO1OlSQp5x5E2ql
ZTpbFaGHRO5+tjAVSG1KFtOVkCoiBTgBAwoJI5lWQAW9xwUQFzvZbmLvFVWY5CvWcWr+6DuePObt
u7pj+KKKPs35ooJPjhhaGAiqjDAZZqwNFRRy92QzQk84ntL9RFMBktjUnF7bYRjE1vTWnNuyBVEB
69085Sbqy06BpiIQ/0jYxx4Yg3j4j94TBMDbM6CpiJ0LXPhGP03WpRfsM4aainzuRlGfbJJtlAKL
W6Pgh9xYhZ2yAhWMWw1B3BRYuU82HtteIw/6I9Hn2zfex+7BJyi45zSIYafo3jQV96cmdxwqiRIV
xO6FCphv15C9Iq2qwL5RJBLmWhHX1DQbl6aCKWqzOnFhQuv7PxxzIsW9KipydfELdAyeIAcxRfsY
BTnyzQtsToHcnzdJ7b9sT20J8uejV9if5/lvKN6zuv0H7os/C93EkgUJIJ8OKhIDxA2/ec742V5v
zzSNjzXIAuq6TphPtOc5TpP58+Z9Q7//B5x3f8g5l4JbHSyJeWGkp0GBZirbrQLS3fCNtUwPpIIC
TMRXpOiDitqYpud4aXpZFSVhrT53CTlMqYL75JyLT98S3MApolkVad1zwxn/Zgj+aMR9EwQ7FG5u
R5AzSBGI4sGuBS9cxF0qqwhYSkujqALNJQpsCZ9Ix3exVknM49vdvHvTjxIp8fXnuFE9rt2PfpQe
LM22kse8fbCfYExcw68jTRwdII5J/nnHwL5+KX/AQ2FDGwQS3Zh40uSo8DAbQPjS4UIFF5yuMLfe
3guUCtaIpidunX++NklsucO/7Lt/qrgNxmlWUQSAiywM8b7nqAAcNT0v8cmkYIMK1NG5PbKTLSxs
kApGgnNAFaJkJ6HMEo0b4p7hO1QpB9mnXmj3n89CUEOrXfkKrsrP8mO2EDHZIsxARH3TrEsw4cic
CyoOBgKQEgJDRRXYhQmA5nmFxu/Q6Z8RBHCS30krq6iiNOzaposQV+vt5UXPw+THtx9FTcunRonY
/Z6LSvF4Kur4GXprLnJNwzEh90ldslQA5W/tFIm2CkDJJ8MldS27EypiJLcGZAbJlG2cFAX2Xyj4
q0maXa5uAN2RPOrtq+PeDvvEtvYeLrQZU/AAY0oyTbzCbm+OouiPLC5pWSop7lGMrPN6JbtUDqnA
Mpz9RDEqIA6bcNGF6ZCU+efcaUBQNoDKfBNpFjuWtBhkB83ItSQ/he5v2d/u0Rvjm0pao4uyCrnA
9xMxcThTBfXUYwSiMTVYBSvzM9NrbyLv51EIK4g0cBW5wh0nU1NRF9oUPEAia5Ns2u1xVwgyVqu0
m6MfMoiZckUFxvgZ7diN2wTinLien7uLoDXBX9zrxtGtuExD2nKlRhRMdKd/xxeffd0Hs158tq9x
wjYf5pjY/usECqO6drW6p/XhH+8t93VafGdveWSyn1dK38EB/dv/AQAA//8=</cx:binary>
              </cx:geoCache>
            </cx:geography>
          </cx:layoutPr>
        </cx:series>
      </cx:plotAreaRegion>
    </cx:plotArea>
    <cx:legend pos="r" align="min" overlay="0"/>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1">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microsoft.com/office/2014/relationships/chartEx" Target="../charts/chartEx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374298</xdr:colOff>
      <xdr:row>1</xdr:row>
      <xdr:rowOff>0</xdr:rowOff>
    </xdr:from>
    <xdr:to>
      <xdr:col>15</xdr:col>
      <xdr:colOff>367812</xdr:colOff>
      <xdr:row>5</xdr:row>
      <xdr:rowOff>161330</xdr:rowOff>
    </xdr:to>
    <xdr:sp macro="" textlink="">
      <xdr:nvSpPr>
        <xdr:cNvPr id="27" name="TextBox 19">
          <a:extLst>
            <a:ext uri="{FF2B5EF4-FFF2-40B4-BE49-F238E27FC236}">
              <a16:creationId xmlns:a16="http://schemas.microsoft.com/office/drawing/2014/main" id="{00000000-0008-0000-0000-00001B000000}"/>
            </a:ext>
          </a:extLst>
        </xdr:cNvPr>
        <xdr:cNvSpPr txBox="1"/>
      </xdr:nvSpPr>
      <xdr:spPr>
        <a:xfrm>
          <a:off x="3003198" y="190500"/>
          <a:ext cx="6089514" cy="923330"/>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lvl="0">
            <a:spcAft>
              <a:spcPts val="1800"/>
            </a:spcAft>
            <a:defRPr/>
          </a:pPr>
          <a:r>
            <a:rPr lang="en-US">
              <a:solidFill>
                <a:schemeClr val="dk1"/>
              </a:solidFill>
            </a:rPr>
            <a:t>You manage an </a:t>
          </a:r>
          <a:r>
            <a:rPr lang="en-US" b="1">
              <a:solidFill>
                <a:schemeClr val="dk1"/>
              </a:solidFill>
            </a:rPr>
            <a:t>online retail company </a:t>
          </a:r>
          <a:r>
            <a:rPr lang="en-US">
              <a:solidFill>
                <a:schemeClr val="dk1"/>
              </a:solidFill>
            </a:rPr>
            <a:t>that ships specialty products to countries in Europe, and you are preparing a workbook to </a:t>
          </a:r>
          <a:r>
            <a:rPr lang="en-US" b="1">
              <a:solidFill>
                <a:schemeClr val="dk1"/>
              </a:solidFill>
            </a:rPr>
            <a:t>track key business metrics</a:t>
          </a:r>
        </a:p>
      </xdr:txBody>
    </xdr:sp>
    <xdr:clientData/>
  </xdr:twoCellAnchor>
  <xdr:twoCellAnchor>
    <xdr:from>
      <xdr:col>1</xdr:col>
      <xdr:colOff>0</xdr:colOff>
      <xdr:row>10</xdr:row>
      <xdr:rowOff>107983</xdr:rowOff>
    </xdr:from>
    <xdr:to>
      <xdr:col>15</xdr:col>
      <xdr:colOff>191548</xdr:colOff>
      <xdr:row>25</xdr:row>
      <xdr:rowOff>174360</xdr:rowOff>
    </xdr:to>
    <xdr:sp macro="" textlink="">
      <xdr:nvSpPr>
        <xdr:cNvPr id="28" name="TextBox 21">
          <a:extLst>
            <a:ext uri="{FF2B5EF4-FFF2-40B4-BE49-F238E27FC236}">
              <a16:creationId xmlns:a16="http://schemas.microsoft.com/office/drawing/2014/main" id="{00000000-0008-0000-0000-00001C000000}"/>
            </a:ext>
          </a:extLst>
        </xdr:cNvPr>
        <xdr:cNvSpPr txBox="1"/>
      </xdr:nvSpPr>
      <xdr:spPr>
        <a:xfrm>
          <a:off x="190500" y="2012983"/>
          <a:ext cx="8725948" cy="292387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342900" lvl="0" indent="-342900">
            <a:spcAft>
              <a:spcPts val="1200"/>
            </a:spcAft>
            <a:buFont typeface="+mj-lt"/>
            <a:buAutoNum type="arabicPeriod"/>
            <a:defRPr/>
          </a:pPr>
          <a:r>
            <a:rPr lang="en-US" sz="1600">
              <a:solidFill>
                <a:schemeClr val="dk1"/>
              </a:solidFill>
            </a:rPr>
            <a:t>On the </a:t>
          </a:r>
          <a:r>
            <a:rPr lang="en-US" sz="1600" b="1">
              <a:solidFill>
                <a:schemeClr val="dk1"/>
              </a:solidFill>
            </a:rPr>
            <a:t>Orders</a:t>
          </a:r>
          <a:r>
            <a:rPr lang="en-US" sz="1600">
              <a:solidFill>
                <a:schemeClr val="dk1"/>
              </a:solidFill>
            </a:rPr>
            <a:t> worksheet, use a formula to fill the </a:t>
          </a:r>
          <a:r>
            <a:rPr lang="en-US" sz="1600" b="1">
              <a:solidFill>
                <a:schemeClr val="dk1"/>
              </a:solidFill>
            </a:rPr>
            <a:t>Product Name </a:t>
          </a:r>
          <a:r>
            <a:rPr lang="en-US" sz="1600">
              <a:solidFill>
                <a:schemeClr val="dk1"/>
              </a:solidFill>
            </a:rPr>
            <a:t>column using the information in the </a:t>
          </a:r>
          <a:r>
            <a:rPr lang="en-US" sz="1600" b="1">
              <a:solidFill>
                <a:schemeClr val="dk1"/>
              </a:solidFill>
            </a:rPr>
            <a:t>Products</a:t>
          </a:r>
          <a:r>
            <a:rPr lang="en-US" sz="1600">
              <a:solidFill>
                <a:schemeClr val="dk1"/>
              </a:solidFill>
            </a:rPr>
            <a:t> worksheet</a:t>
          </a:r>
        </a:p>
        <a:p>
          <a:pPr marL="342900" lvl="0" indent="-342900">
            <a:spcAft>
              <a:spcPts val="1200"/>
            </a:spcAft>
            <a:buFont typeface="+mj-lt"/>
            <a:buAutoNum type="arabicPeriod"/>
            <a:defRPr/>
          </a:pPr>
          <a:r>
            <a:rPr lang="en-US" sz="1600">
              <a:solidFill>
                <a:schemeClr val="dk1"/>
              </a:solidFill>
            </a:rPr>
            <a:t>In cell </a:t>
          </a:r>
          <a:r>
            <a:rPr lang="en-US" sz="1600" b="1">
              <a:solidFill>
                <a:schemeClr val="dk1"/>
              </a:solidFill>
            </a:rPr>
            <a:t>L2</a:t>
          </a:r>
          <a:r>
            <a:rPr lang="en-US" sz="1600">
              <a:solidFill>
                <a:schemeClr val="dk1"/>
              </a:solidFill>
            </a:rPr>
            <a:t> on the </a:t>
          </a:r>
          <a:r>
            <a:rPr lang="en-US" sz="1600" b="1">
              <a:solidFill>
                <a:schemeClr val="dk1"/>
              </a:solidFill>
            </a:rPr>
            <a:t>Orders</a:t>
          </a:r>
          <a:r>
            <a:rPr lang="en-US" sz="1600">
              <a:solidFill>
                <a:schemeClr val="dk1"/>
              </a:solidFill>
            </a:rPr>
            <a:t> worksheet, use a formula to calculate the number of orders from the </a:t>
          </a:r>
          <a:r>
            <a:rPr lang="en-US" sz="1600" b="1">
              <a:solidFill>
                <a:schemeClr val="dk1"/>
              </a:solidFill>
            </a:rPr>
            <a:t>Country</a:t>
          </a:r>
          <a:r>
            <a:rPr lang="en-US" sz="1600">
              <a:solidFill>
                <a:schemeClr val="dk1"/>
              </a:solidFill>
            </a:rPr>
            <a:t> selected in cell </a:t>
          </a:r>
          <a:r>
            <a:rPr lang="en-US" sz="1600" b="1">
              <a:solidFill>
                <a:schemeClr val="dk1"/>
              </a:solidFill>
            </a:rPr>
            <a:t>K2</a:t>
          </a:r>
          <a:r>
            <a:rPr lang="en-US" sz="1600">
              <a:solidFill>
                <a:schemeClr val="dk1"/>
              </a:solidFill>
            </a:rPr>
            <a:t> with a </a:t>
          </a:r>
          <a:r>
            <a:rPr lang="en-US" sz="1600" b="1">
              <a:solidFill>
                <a:schemeClr val="dk1"/>
              </a:solidFill>
            </a:rPr>
            <a:t>Revenue</a:t>
          </a:r>
          <a:r>
            <a:rPr lang="en-US" sz="1600">
              <a:solidFill>
                <a:schemeClr val="dk1"/>
              </a:solidFill>
            </a:rPr>
            <a:t> greater than or equal to $100</a:t>
          </a:r>
        </a:p>
        <a:p>
          <a:pPr marL="342900" lvl="0" indent="-342900">
            <a:spcAft>
              <a:spcPts val="1200"/>
            </a:spcAft>
            <a:buFont typeface="+mj-lt"/>
            <a:buAutoNum type="arabicPeriod"/>
            <a:defRPr/>
          </a:pPr>
          <a:r>
            <a:rPr lang="en-US" sz="1600">
              <a:solidFill>
                <a:schemeClr val="dk1"/>
              </a:solidFill>
            </a:rPr>
            <a:t>On the </a:t>
          </a:r>
          <a:r>
            <a:rPr lang="en-US" sz="1600" b="1">
              <a:solidFill>
                <a:schemeClr val="dk1"/>
              </a:solidFill>
            </a:rPr>
            <a:t>Countries</a:t>
          </a:r>
          <a:r>
            <a:rPr lang="en-US" sz="1600">
              <a:solidFill>
                <a:schemeClr val="dk1"/>
              </a:solidFill>
            </a:rPr>
            <a:t> worksheet, insert a </a:t>
          </a:r>
          <a:r>
            <a:rPr lang="en-US" sz="1600" b="1">
              <a:solidFill>
                <a:schemeClr val="dk1"/>
              </a:solidFill>
            </a:rPr>
            <a:t>Filled Map</a:t>
          </a:r>
          <a:r>
            <a:rPr lang="en-US" sz="1600">
              <a:solidFill>
                <a:schemeClr val="dk1"/>
              </a:solidFill>
            </a:rPr>
            <a:t> using the information in cells </a:t>
          </a:r>
          <a:r>
            <a:rPr lang="en-US" sz="1600" b="1">
              <a:solidFill>
                <a:schemeClr val="dk1"/>
              </a:solidFill>
            </a:rPr>
            <a:t>A1:B15</a:t>
          </a:r>
          <a:endParaRPr lang="en-US" sz="1600">
            <a:solidFill>
              <a:schemeClr val="dk1"/>
            </a:solidFill>
          </a:endParaRPr>
        </a:p>
        <a:p>
          <a:pPr marL="342900" lvl="0" indent="-342900">
            <a:spcAft>
              <a:spcPts val="1200"/>
            </a:spcAft>
            <a:buFont typeface="+mj-lt"/>
            <a:buAutoNum type="arabicPeriod"/>
            <a:defRPr/>
          </a:pPr>
          <a:r>
            <a:rPr lang="en-US" sz="1600">
              <a:solidFill>
                <a:schemeClr val="dk1"/>
              </a:solidFill>
            </a:rPr>
            <a:t>In cell </a:t>
          </a:r>
          <a:r>
            <a:rPr lang="en-US" sz="1600" b="1">
              <a:solidFill>
                <a:schemeClr val="dk1"/>
              </a:solidFill>
            </a:rPr>
            <a:t>B5</a:t>
          </a:r>
          <a:r>
            <a:rPr lang="en-US" sz="1600">
              <a:solidFill>
                <a:schemeClr val="dk1"/>
              </a:solidFill>
            </a:rPr>
            <a:t> of the </a:t>
          </a:r>
          <a:r>
            <a:rPr lang="en-US" sz="1600" b="1">
              <a:solidFill>
                <a:schemeClr val="dk1"/>
              </a:solidFill>
            </a:rPr>
            <a:t>Warehouse</a:t>
          </a:r>
          <a:r>
            <a:rPr lang="en-US" sz="1600">
              <a:solidFill>
                <a:schemeClr val="dk1"/>
              </a:solidFill>
            </a:rPr>
            <a:t> </a:t>
          </a:r>
          <a:r>
            <a:rPr lang="en-US" sz="1600" b="1">
              <a:solidFill>
                <a:schemeClr val="dk1"/>
              </a:solidFill>
            </a:rPr>
            <a:t>Extension</a:t>
          </a:r>
          <a:r>
            <a:rPr lang="en-US" sz="1600">
              <a:solidFill>
                <a:schemeClr val="dk1"/>
              </a:solidFill>
            </a:rPr>
            <a:t> worksheet, use a formula that calculates the monthly payment amount, assuming the payment is due at the beginning of each month</a:t>
          </a:r>
        </a:p>
        <a:p>
          <a:pPr marL="342900" lvl="0" indent="-342900">
            <a:spcAft>
              <a:spcPts val="1200"/>
            </a:spcAft>
            <a:buFont typeface="+mj-lt"/>
            <a:buAutoNum type="arabicPeriod"/>
            <a:defRPr/>
          </a:pPr>
          <a:r>
            <a:rPr lang="en-US" sz="1600">
              <a:solidFill>
                <a:schemeClr val="dk1"/>
              </a:solidFill>
            </a:rPr>
            <a:t>On the </a:t>
          </a:r>
          <a:r>
            <a:rPr lang="en-US" sz="1600" b="1">
              <a:solidFill>
                <a:schemeClr val="dk1"/>
              </a:solidFill>
            </a:rPr>
            <a:t>Summary Chart </a:t>
          </a:r>
          <a:r>
            <a:rPr lang="en-US" sz="1600">
              <a:solidFill>
                <a:schemeClr val="dk1"/>
              </a:solidFill>
            </a:rPr>
            <a:t>worksheet, add a </a:t>
          </a:r>
          <a:r>
            <a:rPr lang="en-US" sz="1600" b="1">
              <a:solidFill>
                <a:schemeClr val="dk1"/>
              </a:solidFill>
            </a:rPr>
            <a:t>Line Pivot Chart </a:t>
          </a:r>
          <a:r>
            <a:rPr lang="en-US" sz="1600">
              <a:solidFill>
                <a:schemeClr val="dk1"/>
              </a:solidFill>
            </a:rPr>
            <a:t>and change the Pivot Chart formatting to </a:t>
          </a:r>
          <a:r>
            <a:rPr lang="en-US" sz="1600" b="1">
              <a:solidFill>
                <a:schemeClr val="dk1"/>
              </a:solidFill>
            </a:rPr>
            <a:t>Style 5</a:t>
          </a:r>
          <a:r>
            <a:rPr lang="en-US" sz="1600">
              <a:solidFill>
                <a:schemeClr val="dk1"/>
              </a:solidFill>
            </a:rPr>
            <a:t> and </a:t>
          </a:r>
          <a:r>
            <a:rPr lang="en-US" sz="1600" b="1">
              <a:solidFill>
                <a:schemeClr val="dk1"/>
              </a:solidFill>
            </a:rPr>
            <a:t>Layout 4</a:t>
          </a:r>
          <a:endParaRPr kumimoji="0" lang="en-US" sz="1600" i="0" u="none" strike="noStrike" kern="1200" cap="none" spc="0" normalizeH="0" baseline="0">
            <a:ln>
              <a:noFill/>
            </a:ln>
            <a:solidFill>
              <a:prstClr val="black">
                <a:lumMod val="85000"/>
                <a:lumOff val="15000"/>
              </a:prstClr>
            </a:solidFill>
            <a:effectLst/>
            <a:uLnTx/>
            <a:uFillTx/>
          </a:endParaRPr>
        </a:p>
      </xdr:txBody>
    </xdr:sp>
    <xdr:clientData/>
  </xdr:twoCellAnchor>
  <xdr:twoCellAnchor>
    <xdr:from>
      <xdr:col>5</xdr:col>
      <xdr:colOff>224975</xdr:colOff>
      <xdr:row>1</xdr:row>
      <xdr:rowOff>0</xdr:rowOff>
    </xdr:from>
    <xdr:to>
      <xdr:col>5</xdr:col>
      <xdr:colOff>224975</xdr:colOff>
      <xdr:row>7</xdr:row>
      <xdr:rowOff>6848</xdr:rowOff>
    </xdr:to>
    <xdr:cxnSp macro="">
      <xdr:nvCxnSpPr>
        <xdr:cNvPr id="29" name="Google Shape;7890;p302">
          <a:extLst>
            <a:ext uri="{FF2B5EF4-FFF2-40B4-BE49-F238E27FC236}">
              <a16:creationId xmlns:a16="http://schemas.microsoft.com/office/drawing/2014/main" id="{00000000-0008-0000-0000-00001D000000}"/>
            </a:ext>
          </a:extLst>
        </xdr:cNvPr>
        <xdr:cNvCxnSpPr>
          <a:cxnSpLocks/>
        </xdr:cNvCxnSpPr>
      </xdr:nvCxnSpPr>
      <xdr:spPr>
        <a:xfrm>
          <a:off x="2853875" y="190500"/>
          <a:ext cx="0" cy="1149848"/>
        </a:xfrm>
        <a:prstGeom prst="straightConnector1">
          <a:avLst/>
        </a:prstGeom>
        <a:noFill/>
        <a:ln w="9525" cap="flat" cmpd="sng">
          <a:solidFill>
            <a:schemeClr val="lt2"/>
          </a:solidFill>
          <a:prstDash val="solid"/>
          <a:miter lim="800000"/>
          <a:headEnd type="none" w="sm" len="sm"/>
          <a:tailEnd type="none" w="sm" len="sm"/>
        </a:ln>
      </xdr:spPr>
    </xdr:cxnSp>
    <xdr:clientData/>
  </xdr:twoCellAnchor>
  <xdr:twoCellAnchor>
    <xdr:from>
      <xdr:col>1</xdr:col>
      <xdr:colOff>68601</xdr:colOff>
      <xdr:row>1</xdr:row>
      <xdr:rowOff>141580</xdr:rowOff>
    </xdr:from>
    <xdr:to>
      <xdr:col>5</xdr:col>
      <xdr:colOff>161785</xdr:colOff>
      <xdr:row>5</xdr:row>
      <xdr:rowOff>72326</xdr:rowOff>
    </xdr:to>
    <xdr:grpSp>
      <xdr:nvGrpSpPr>
        <xdr:cNvPr id="30" name="Group 29">
          <a:extLst>
            <a:ext uri="{FF2B5EF4-FFF2-40B4-BE49-F238E27FC236}">
              <a16:creationId xmlns:a16="http://schemas.microsoft.com/office/drawing/2014/main" id="{00000000-0008-0000-0000-00001E000000}"/>
            </a:ext>
          </a:extLst>
        </xdr:cNvPr>
        <xdr:cNvGrpSpPr/>
      </xdr:nvGrpSpPr>
      <xdr:grpSpPr>
        <a:xfrm>
          <a:off x="266721" y="324460"/>
          <a:ext cx="2531584" cy="662266"/>
          <a:chOff x="2656994" y="1676486"/>
          <a:chExt cx="2531584" cy="692746"/>
        </a:xfrm>
      </xdr:grpSpPr>
      <xdr:grpSp>
        <xdr:nvGrpSpPr>
          <xdr:cNvPr id="33" name="Google Shape;7887;p302">
            <a:extLst>
              <a:ext uri="{FF2B5EF4-FFF2-40B4-BE49-F238E27FC236}">
                <a16:creationId xmlns:a16="http://schemas.microsoft.com/office/drawing/2014/main" id="{00000000-0008-0000-0000-000021000000}"/>
              </a:ext>
            </a:extLst>
          </xdr:cNvPr>
          <xdr:cNvGrpSpPr/>
        </xdr:nvGrpSpPr>
        <xdr:grpSpPr>
          <a:xfrm>
            <a:off x="3318753" y="1676486"/>
            <a:ext cx="1869825" cy="692746"/>
            <a:chOff x="1613474" y="1288575"/>
            <a:chExt cx="2016340" cy="692746"/>
          </a:xfrm>
        </xdr:grpSpPr>
        <xdr:sp macro="" textlink="">
          <xdr:nvSpPr>
            <xdr:cNvPr id="37" name="Google Shape;7888;p302">
              <a:extLst>
                <a:ext uri="{FF2B5EF4-FFF2-40B4-BE49-F238E27FC236}">
                  <a16:creationId xmlns:a16="http://schemas.microsoft.com/office/drawing/2014/main" id="{00000000-0008-0000-0000-000025000000}"/>
                </a:ext>
              </a:extLst>
            </xdr:cNvPr>
            <xdr:cNvSpPr txBox="1"/>
          </xdr:nvSpPr>
          <xdr:spPr>
            <a:xfrm>
              <a:off x="1613477" y="1519656"/>
              <a:ext cx="2016337" cy="461665"/>
            </a:xfrm>
            <a:prstGeom prst="rect">
              <a:avLst/>
            </a:prstGeom>
            <a:noFill/>
            <a:ln>
              <a:noFill/>
            </a:ln>
          </xdr:spPr>
          <xdr:txBody>
            <a:bodyPr spcFirstLastPara="1" wrap="square" lIns="91425" tIns="45700" rIns="91425" bIns="45700" anchor="t" anchorCtr="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rtl="0">
                <a:lnSpc>
                  <a:spcPct val="100000"/>
                </a:lnSpc>
                <a:spcBef>
                  <a:spcPts val="0"/>
                </a:spcBef>
                <a:spcAft>
                  <a:spcPts val="0"/>
                </a:spcAft>
                <a:buClr>
                  <a:srgbClr val="000000"/>
                </a:buClr>
                <a:buSzPts val="2400"/>
                <a:buFont typeface="Arial"/>
                <a:buNone/>
              </a:pPr>
              <a:r>
                <a:rPr lang="en-US" sz="2800" b="1" i="0" u="none" strike="noStrike" cap="none">
                  <a:solidFill>
                    <a:srgbClr val="19673D"/>
                  </a:solidFill>
                  <a:ea typeface="Lato Black"/>
                  <a:cs typeface="Lato Black"/>
                  <a:sym typeface="Lato Black"/>
                </a:rPr>
                <a:t>SITUATION</a:t>
              </a:r>
              <a:endParaRPr sz="1600" b="0" i="0" u="none" strike="noStrike" cap="none">
                <a:solidFill>
                  <a:srgbClr val="19673D"/>
                </a:solidFill>
                <a:ea typeface="Arial"/>
                <a:cs typeface="Arial"/>
                <a:sym typeface="Arial"/>
              </a:endParaRPr>
            </a:p>
          </xdr:txBody>
        </xdr:sp>
        <xdr:sp macro="" textlink="">
          <xdr:nvSpPr>
            <xdr:cNvPr id="38" name="Google Shape;7889;p302">
              <a:extLst>
                <a:ext uri="{FF2B5EF4-FFF2-40B4-BE49-F238E27FC236}">
                  <a16:creationId xmlns:a16="http://schemas.microsoft.com/office/drawing/2014/main" id="{00000000-0008-0000-0000-000026000000}"/>
                </a:ext>
              </a:extLst>
            </xdr:cNvPr>
            <xdr:cNvSpPr txBox="1"/>
          </xdr:nvSpPr>
          <xdr:spPr>
            <a:xfrm>
              <a:off x="1613474" y="1288575"/>
              <a:ext cx="714497" cy="369332"/>
            </a:xfrm>
            <a:prstGeom prst="rect">
              <a:avLst/>
            </a:prstGeom>
            <a:noFill/>
            <a:ln>
              <a:noFill/>
            </a:ln>
          </xdr:spPr>
          <xdr:txBody>
            <a:bodyPr spcFirstLastPara="1" wrap="square" lIns="91425" tIns="45700" rIns="91425" bIns="45700" anchor="t" anchorCtr="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rtl="0">
                <a:lnSpc>
                  <a:spcPct val="100000"/>
                </a:lnSpc>
                <a:spcBef>
                  <a:spcPts val="0"/>
                </a:spcBef>
                <a:spcAft>
                  <a:spcPts val="0"/>
                </a:spcAft>
                <a:buClr>
                  <a:srgbClr val="000000"/>
                </a:buClr>
                <a:buSzPts val="1800"/>
                <a:buFont typeface="Arial"/>
                <a:buNone/>
              </a:pPr>
              <a:r>
                <a:rPr lang="en-US" sz="2000" b="0" i="0" u="none" strike="noStrike" cap="none">
                  <a:solidFill>
                    <a:srgbClr val="3F3F3F"/>
                  </a:solidFill>
                  <a:ea typeface="Lato Light"/>
                  <a:cs typeface="Lato Light"/>
                  <a:sym typeface="Lato Light"/>
                </a:rPr>
                <a:t>THE</a:t>
              </a:r>
              <a:endParaRPr sz="1600" b="0" i="0" u="none" strike="noStrike" cap="none">
                <a:solidFill>
                  <a:srgbClr val="000000"/>
                </a:solidFill>
                <a:ea typeface="Arial"/>
                <a:cs typeface="Arial"/>
                <a:sym typeface="Arial"/>
              </a:endParaRPr>
            </a:p>
          </xdr:txBody>
        </xdr:sp>
      </xdr:grpSp>
      <xdr:grpSp>
        <xdr:nvGrpSpPr>
          <xdr:cNvPr id="34" name="Group 33">
            <a:extLst>
              <a:ext uri="{FF2B5EF4-FFF2-40B4-BE49-F238E27FC236}">
                <a16:creationId xmlns:a16="http://schemas.microsoft.com/office/drawing/2014/main" id="{00000000-0008-0000-0000-000022000000}"/>
              </a:ext>
            </a:extLst>
          </xdr:cNvPr>
          <xdr:cNvGrpSpPr/>
        </xdr:nvGrpSpPr>
        <xdr:grpSpPr>
          <a:xfrm>
            <a:off x="2656994" y="1764113"/>
            <a:ext cx="662579" cy="563931"/>
            <a:chOff x="620960" y="4111492"/>
            <a:chExt cx="644465" cy="548514"/>
          </a:xfrm>
        </xdr:grpSpPr>
        <xdr:sp macro="" textlink="">
          <xdr:nvSpPr>
            <xdr:cNvPr id="35" name="Google Shape;235;p18">
              <a:extLst>
                <a:ext uri="{FF2B5EF4-FFF2-40B4-BE49-F238E27FC236}">
                  <a16:creationId xmlns:a16="http://schemas.microsoft.com/office/drawing/2014/main" id="{00000000-0008-0000-0000-000023000000}"/>
                </a:ext>
              </a:extLst>
            </xdr:cNvPr>
            <xdr:cNvSpPr/>
          </xdr:nvSpPr>
          <xdr:spPr>
            <a:xfrm>
              <a:off x="620960" y="4125420"/>
              <a:ext cx="534586" cy="534586"/>
            </a:xfrm>
            <a:prstGeom prst="ellipse">
              <a:avLst/>
            </a:prstGeom>
            <a:gradFill flip="none" rotWithShape="1">
              <a:gsLst>
                <a:gs pos="0">
                  <a:schemeClr val="bg1">
                    <a:lumMod val="85000"/>
                  </a:schemeClr>
                </a:gs>
                <a:gs pos="100000">
                  <a:schemeClr val="bg1">
                    <a:lumMod val="65000"/>
                  </a:schemeClr>
                </a:gs>
              </a:gsLst>
              <a:lin ang="0" scaled="1"/>
              <a:tileRect/>
            </a:gradFill>
            <a:ln>
              <a:noFill/>
            </a:ln>
            <a:effectLst>
              <a:innerShdw blurRad="63500" dist="50800" dir="18900000">
                <a:prstClr val="black">
                  <a:alpha val="40000"/>
                </a:prstClr>
              </a:inn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sz="1600">
                <a:solidFill>
                  <a:prstClr val="black">
                    <a:lumMod val="85000"/>
                    <a:lumOff val="15000"/>
                  </a:prstClr>
                </a:solidFill>
                <a:latin typeface="Calibri" panose="020F0502020204030204"/>
                <a:sym typeface="Lato Black"/>
              </a:endParaRPr>
            </a:p>
          </xdr:txBody>
        </xdr:sp>
        <xdr:pic>
          <xdr:nvPicPr>
            <xdr:cNvPr id="36" name="Google Shape;239;p18">
              <a:extLst>
                <a:ext uri="{FF2B5EF4-FFF2-40B4-BE49-F238E27FC236}">
                  <a16:creationId xmlns:a16="http://schemas.microsoft.com/office/drawing/2014/main" id="{00000000-0008-0000-0000-000024000000}"/>
                </a:ext>
              </a:extLst>
            </xdr:cNvPr>
            <xdr:cNvPicPr preferRelativeResize="0"/>
          </xdr:nvPicPr>
          <xdr:blipFill rotWithShape="1">
            <a:blip xmlns:r="http://schemas.openxmlformats.org/officeDocument/2006/relationships" r:embed="rId1">
              <a:alphaModFix/>
            </a:blip>
            <a:srcRect/>
            <a:stretch/>
          </xdr:blipFill>
          <xdr:spPr>
            <a:xfrm rot="-440344">
              <a:off x="705954" y="4111492"/>
              <a:ext cx="559471" cy="413193"/>
            </a:xfrm>
            <a:prstGeom prst="rect">
              <a:avLst/>
            </a:prstGeom>
            <a:noFill/>
            <a:ln>
              <a:noFill/>
            </a:ln>
          </xdr:spPr>
        </xdr:pic>
      </xdr:grpSp>
    </xdr:grpSp>
    <xdr:clientData/>
  </xdr:twoCellAnchor>
  <xdr:twoCellAnchor>
    <xdr:from>
      <xdr:col>1</xdr:col>
      <xdr:colOff>0</xdr:colOff>
      <xdr:row>7</xdr:row>
      <xdr:rowOff>166169</xdr:rowOff>
    </xdr:from>
    <xdr:to>
      <xdr:col>11</xdr:col>
      <xdr:colOff>107308</xdr:colOff>
      <xdr:row>10</xdr:row>
      <xdr:rowOff>56334</xdr:rowOff>
    </xdr:to>
    <xdr:sp macro="" textlink="">
      <xdr:nvSpPr>
        <xdr:cNvPr id="31" name="TextBox 35">
          <a:extLst>
            <a:ext uri="{FF2B5EF4-FFF2-40B4-BE49-F238E27FC236}">
              <a16:creationId xmlns:a16="http://schemas.microsoft.com/office/drawing/2014/main" id="{00000000-0008-0000-0000-00001F000000}"/>
            </a:ext>
          </a:extLst>
        </xdr:cNvPr>
        <xdr:cNvSpPr txBox="1"/>
      </xdr:nvSpPr>
      <xdr:spPr>
        <a:xfrm>
          <a:off x="190500" y="1499669"/>
          <a:ext cx="6203308" cy="461665"/>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lvl="0">
            <a:spcAft>
              <a:spcPts val="1800"/>
            </a:spcAft>
            <a:defRPr/>
          </a:pPr>
          <a:r>
            <a:rPr lang="en-US" sz="2400" b="1">
              <a:solidFill>
                <a:prstClr val="black">
                  <a:lumMod val="85000"/>
                  <a:lumOff val="15000"/>
                </a:prstClr>
              </a:solidFill>
            </a:rPr>
            <a:t>TASKS:</a:t>
          </a:r>
          <a:endParaRPr lang="en-US" sz="2400" b="1">
            <a:solidFill>
              <a:schemeClr val="dk1"/>
            </a:solidFill>
          </a:endParaRPr>
        </a:p>
      </xdr:txBody>
    </xdr:sp>
    <xdr:clientData/>
  </xdr:twoCellAnchor>
  <xdr:twoCellAnchor>
    <xdr:from>
      <xdr:col>0</xdr:col>
      <xdr:colOff>-24768</xdr:colOff>
      <xdr:row>7</xdr:row>
      <xdr:rowOff>6848</xdr:rowOff>
    </xdr:from>
    <xdr:to>
      <xdr:col>15</xdr:col>
      <xdr:colOff>367813</xdr:colOff>
      <xdr:row>7</xdr:row>
      <xdr:rowOff>6848</xdr:rowOff>
    </xdr:to>
    <xdr:cxnSp macro="">
      <xdr:nvCxnSpPr>
        <xdr:cNvPr id="32" name="Google Shape;7890;p302">
          <a:extLst>
            <a:ext uri="{FF2B5EF4-FFF2-40B4-BE49-F238E27FC236}">
              <a16:creationId xmlns:a16="http://schemas.microsoft.com/office/drawing/2014/main" id="{00000000-0008-0000-0000-000020000000}"/>
            </a:ext>
          </a:extLst>
        </xdr:cNvPr>
        <xdr:cNvCxnSpPr>
          <a:cxnSpLocks/>
        </xdr:cNvCxnSpPr>
      </xdr:nvCxnSpPr>
      <xdr:spPr>
        <a:xfrm flipH="1">
          <a:off x="-24768" y="1340348"/>
          <a:ext cx="9117481" cy="0"/>
        </a:xfrm>
        <a:prstGeom prst="straightConnector1">
          <a:avLst/>
        </a:prstGeom>
        <a:noFill/>
        <a:ln w="9525" cap="flat" cmpd="sng">
          <a:solidFill>
            <a:schemeClr val="lt2"/>
          </a:solidFill>
          <a:prstDash val="solid"/>
          <a:miter lim="800000"/>
          <a:headEnd type="none" w="sm" len="sm"/>
          <a:tailEnd type="none" w="sm" len="sm"/>
        </a:ln>
      </xdr:spPr>
    </xdr:cxnSp>
    <xdr:clientData/>
  </xdr:twoCellAnchor>
</xdr:wsDr>
</file>

<file path=xl/drawings/drawing2.xml><?xml version="1.0" encoding="utf-8"?>
<xdr:wsDr xmlns:xdr="http://schemas.openxmlformats.org/drawingml/2006/spreadsheetDrawing" xmlns:a="http://schemas.openxmlformats.org/drawingml/2006/main">
  <xdr:twoCellAnchor>
    <xdr:from>
      <xdr:col>7</xdr:col>
      <xdr:colOff>68580</xdr:colOff>
      <xdr:row>9</xdr:row>
      <xdr:rowOff>38100</xdr:rowOff>
    </xdr:from>
    <xdr:to>
      <xdr:col>15</xdr:col>
      <xdr:colOff>563880</xdr:colOff>
      <xdr:row>25</xdr:row>
      <xdr:rowOff>152400</xdr:rowOff>
    </xdr:to>
    <mc:AlternateContent xmlns:mc="http://schemas.openxmlformats.org/markup-compatibility/2006">
      <mc:Choice xmlns:cx4="http://schemas.microsoft.com/office/drawing/2016/5/10/chartex" Requires="cx4">
        <xdr:graphicFrame macro="">
          <xdr:nvGraphicFramePr>
            <xdr:cNvPr id="2" name="Chart 1">
              <a:extLst>
                <a:ext uri="{FF2B5EF4-FFF2-40B4-BE49-F238E27FC236}">
                  <a16:creationId xmlns:a16="http://schemas.microsoft.com/office/drawing/2014/main" id="{8666BCAB-2B03-36FF-963D-8F221D85FE3F}"/>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4899660" y="1684020"/>
              <a:ext cx="5372100" cy="304038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4</xdr:col>
      <xdr:colOff>68580</xdr:colOff>
      <xdr:row>9</xdr:row>
      <xdr:rowOff>38100</xdr:rowOff>
    </xdr:from>
    <xdr:to>
      <xdr:col>11</xdr:col>
      <xdr:colOff>373380</xdr:colOff>
      <xdr:row>24</xdr:row>
      <xdr:rowOff>38100</xdr:rowOff>
    </xdr:to>
    <xdr:graphicFrame macro="">
      <xdr:nvGraphicFramePr>
        <xdr:cNvPr id="2" name="Chart 1">
          <a:extLst>
            <a:ext uri="{FF2B5EF4-FFF2-40B4-BE49-F238E27FC236}">
              <a16:creationId xmlns:a16="http://schemas.microsoft.com/office/drawing/2014/main" id="{E7213207-D042-2FAB-8BC1-CC090BA4A56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5</xdr:col>
      <xdr:colOff>374298</xdr:colOff>
      <xdr:row>1</xdr:row>
      <xdr:rowOff>0</xdr:rowOff>
    </xdr:from>
    <xdr:to>
      <xdr:col>15</xdr:col>
      <xdr:colOff>367812</xdr:colOff>
      <xdr:row>5</xdr:row>
      <xdr:rowOff>161330</xdr:rowOff>
    </xdr:to>
    <xdr:sp macro="" textlink="">
      <xdr:nvSpPr>
        <xdr:cNvPr id="15" name="TextBox 19">
          <a:extLst>
            <a:ext uri="{FF2B5EF4-FFF2-40B4-BE49-F238E27FC236}">
              <a16:creationId xmlns:a16="http://schemas.microsoft.com/office/drawing/2014/main" id="{00000000-0008-0000-0600-00000F000000}"/>
            </a:ext>
          </a:extLst>
        </xdr:cNvPr>
        <xdr:cNvSpPr txBox="1"/>
      </xdr:nvSpPr>
      <xdr:spPr>
        <a:xfrm>
          <a:off x="3003198" y="190500"/>
          <a:ext cx="6089514" cy="923330"/>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lvl="0">
            <a:spcAft>
              <a:spcPts val="1800"/>
            </a:spcAft>
            <a:defRPr/>
          </a:pPr>
          <a:r>
            <a:rPr lang="en-US">
              <a:solidFill>
                <a:schemeClr val="dk1"/>
              </a:solidFill>
            </a:rPr>
            <a:t>You are the Sales Director of a </a:t>
          </a:r>
          <a:r>
            <a:rPr lang="en-US" b="1">
              <a:solidFill>
                <a:schemeClr val="dk1"/>
              </a:solidFill>
            </a:rPr>
            <a:t>beer manufacturing company </a:t>
          </a:r>
          <a:r>
            <a:rPr lang="en-US">
              <a:solidFill>
                <a:schemeClr val="dk1"/>
              </a:solidFill>
            </a:rPr>
            <a:t>that supplies the beer for all Major League Baseball stadiums, and you are preparing a workbook to </a:t>
          </a:r>
          <a:r>
            <a:rPr lang="en-US" b="1">
              <a:solidFill>
                <a:schemeClr val="dk1"/>
              </a:solidFill>
            </a:rPr>
            <a:t>help manage pricing</a:t>
          </a:r>
          <a:endParaRPr lang="en-US">
            <a:solidFill>
              <a:schemeClr val="dk1"/>
            </a:solidFill>
          </a:endParaRPr>
        </a:p>
      </xdr:txBody>
    </xdr:sp>
    <xdr:clientData/>
  </xdr:twoCellAnchor>
  <xdr:twoCellAnchor>
    <xdr:from>
      <xdr:col>1</xdr:col>
      <xdr:colOff>0</xdr:colOff>
      <xdr:row>10</xdr:row>
      <xdr:rowOff>107983</xdr:rowOff>
    </xdr:from>
    <xdr:to>
      <xdr:col>15</xdr:col>
      <xdr:colOff>191548</xdr:colOff>
      <xdr:row>25</xdr:row>
      <xdr:rowOff>20472</xdr:rowOff>
    </xdr:to>
    <xdr:sp macro="" textlink="">
      <xdr:nvSpPr>
        <xdr:cNvPr id="16" name="TextBox 21">
          <a:extLst>
            <a:ext uri="{FF2B5EF4-FFF2-40B4-BE49-F238E27FC236}">
              <a16:creationId xmlns:a16="http://schemas.microsoft.com/office/drawing/2014/main" id="{00000000-0008-0000-0600-000010000000}"/>
            </a:ext>
          </a:extLst>
        </xdr:cNvPr>
        <xdr:cNvSpPr txBox="1"/>
      </xdr:nvSpPr>
      <xdr:spPr>
        <a:xfrm>
          <a:off x="190500" y="2012983"/>
          <a:ext cx="8725948" cy="276998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342900" lvl="0" indent="-342900">
            <a:spcAft>
              <a:spcPts val="1200"/>
            </a:spcAft>
            <a:buFont typeface="+mj-lt"/>
            <a:buAutoNum type="arabicPeriod"/>
            <a:defRPr/>
          </a:pPr>
          <a:r>
            <a:rPr lang="en-US" sz="1600">
              <a:solidFill>
                <a:schemeClr val="dk1"/>
              </a:solidFill>
            </a:rPr>
            <a:t>On the </a:t>
          </a:r>
          <a:r>
            <a:rPr lang="en-US" sz="1600" b="1">
              <a:solidFill>
                <a:schemeClr val="dk1"/>
              </a:solidFill>
            </a:rPr>
            <a:t>Team Selector</a:t>
          </a:r>
          <a:r>
            <a:rPr lang="en-US" sz="1600">
              <a:solidFill>
                <a:schemeClr val="dk1"/>
              </a:solidFill>
            </a:rPr>
            <a:t> worksheet, add a data validation list to cell </a:t>
          </a:r>
          <a:r>
            <a:rPr lang="en-US" sz="1600" b="1">
              <a:solidFill>
                <a:schemeClr val="dk1"/>
              </a:solidFill>
            </a:rPr>
            <a:t>C6</a:t>
          </a:r>
          <a:r>
            <a:rPr lang="en-US" sz="1600">
              <a:solidFill>
                <a:schemeClr val="dk1"/>
              </a:solidFill>
            </a:rPr>
            <a:t> using range </a:t>
          </a:r>
          <a:r>
            <a:rPr lang="en-US" sz="1600" b="1">
              <a:solidFill>
                <a:schemeClr val="dk1"/>
              </a:solidFill>
            </a:rPr>
            <a:t>A2:A31 </a:t>
          </a:r>
          <a:r>
            <a:rPr lang="en-US" sz="1600">
              <a:solidFill>
                <a:schemeClr val="dk1"/>
              </a:solidFill>
            </a:rPr>
            <a:t>from the </a:t>
          </a:r>
          <a:r>
            <a:rPr lang="en-US" sz="1600" b="1">
              <a:solidFill>
                <a:schemeClr val="dk1"/>
              </a:solidFill>
            </a:rPr>
            <a:t>Beer Prices </a:t>
          </a:r>
          <a:r>
            <a:rPr lang="en-US" sz="1600">
              <a:solidFill>
                <a:schemeClr val="dk1"/>
              </a:solidFill>
            </a:rPr>
            <a:t>worksheet as the source; select the Philadelphia Phillies</a:t>
          </a:r>
        </a:p>
        <a:p>
          <a:pPr marL="342900" lvl="0" indent="-342900">
            <a:spcAft>
              <a:spcPts val="1200"/>
            </a:spcAft>
            <a:buFont typeface="+mj-lt"/>
            <a:buAutoNum type="arabicPeriod"/>
            <a:defRPr/>
          </a:pPr>
          <a:r>
            <a:rPr lang="en-US" sz="1600">
              <a:solidFill>
                <a:schemeClr val="dk1"/>
              </a:solidFill>
            </a:rPr>
            <a:t>On the </a:t>
          </a:r>
          <a:r>
            <a:rPr lang="en-US" sz="1600" b="1">
              <a:solidFill>
                <a:schemeClr val="dk1"/>
              </a:solidFill>
            </a:rPr>
            <a:t>Beer Prices</a:t>
          </a:r>
          <a:r>
            <a:rPr lang="en-US" sz="1600">
              <a:solidFill>
                <a:schemeClr val="dk1"/>
              </a:solidFill>
            </a:rPr>
            <a:t> worksheet, group columns </a:t>
          </a:r>
          <a:r>
            <a:rPr lang="en-US" sz="1600" b="1">
              <a:solidFill>
                <a:schemeClr val="dk1"/>
              </a:solidFill>
            </a:rPr>
            <a:t>B:C</a:t>
          </a:r>
          <a:endParaRPr lang="en-US" sz="1600">
            <a:solidFill>
              <a:schemeClr val="dk1"/>
            </a:solidFill>
          </a:endParaRPr>
        </a:p>
        <a:p>
          <a:pPr marL="342900" lvl="0" indent="-342900">
            <a:spcAft>
              <a:spcPts val="1200"/>
            </a:spcAft>
            <a:buFont typeface="+mj-lt"/>
            <a:buAutoNum type="arabicPeriod"/>
            <a:defRPr/>
          </a:pPr>
          <a:r>
            <a:rPr lang="en-US" sz="1600">
              <a:solidFill>
                <a:schemeClr val="dk1"/>
              </a:solidFill>
            </a:rPr>
            <a:t>On the </a:t>
          </a:r>
          <a:r>
            <a:rPr lang="en-US" sz="1600" b="1">
              <a:solidFill>
                <a:schemeClr val="dk1"/>
              </a:solidFill>
            </a:rPr>
            <a:t>Price per Ounce</a:t>
          </a:r>
          <a:r>
            <a:rPr lang="en-US" sz="1600">
              <a:solidFill>
                <a:schemeClr val="dk1"/>
              </a:solidFill>
            </a:rPr>
            <a:t> worksheet, use conditional formatting to apply a Red - White - Green color scale to range </a:t>
          </a:r>
          <a:r>
            <a:rPr lang="en-US" sz="1600" b="1">
              <a:solidFill>
                <a:schemeClr val="dk1"/>
              </a:solidFill>
            </a:rPr>
            <a:t>B2:F31</a:t>
          </a:r>
        </a:p>
        <a:p>
          <a:pPr marL="342900" lvl="0" indent="-342900">
            <a:spcAft>
              <a:spcPts val="1200"/>
            </a:spcAft>
            <a:buFont typeface="+mj-lt"/>
            <a:buAutoNum type="arabicPeriod"/>
            <a:defRPr/>
          </a:pPr>
          <a:r>
            <a:rPr lang="en-US" sz="1600">
              <a:solidFill>
                <a:schemeClr val="dk1"/>
              </a:solidFill>
            </a:rPr>
            <a:t>On the </a:t>
          </a:r>
          <a:r>
            <a:rPr lang="en-US" sz="1600" b="1">
              <a:solidFill>
                <a:schemeClr val="dk1"/>
              </a:solidFill>
            </a:rPr>
            <a:t>Price per Ounce </a:t>
          </a:r>
          <a:r>
            <a:rPr lang="en-US" sz="1600">
              <a:solidFill>
                <a:schemeClr val="dk1"/>
              </a:solidFill>
            </a:rPr>
            <a:t>worksheet, add a formula in cell </a:t>
          </a:r>
          <a:r>
            <a:rPr lang="en-US" sz="1600" b="1">
              <a:solidFill>
                <a:schemeClr val="dk1"/>
              </a:solidFill>
            </a:rPr>
            <a:t>G2</a:t>
          </a:r>
          <a:r>
            <a:rPr lang="en-US" sz="1600">
              <a:solidFill>
                <a:schemeClr val="dk1"/>
              </a:solidFill>
            </a:rPr>
            <a:t> that displays “None” if the Price per Ounce in 2018 was equal to the Price per Ounce in 2013, displays “Increase” if the Price per Ounce in 2018 is greater than the Price per Ounce in 2016 or greater than the average Price per Ounce from 2013-2016. Otherwise, display “Decrease”.</a:t>
          </a:r>
          <a:endParaRPr lang="en-US" sz="1600" b="1">
            <a:solidFill>
              <a:prstClr val="black">
                <a:lumMod val="85000"/>
                <a:lumOff val="15000"/>
              </a:prstClr>
            </a:solidFill>
          </a:endParaRPr>
        </a:p>
      </xdr:txBody>
    </xdr:sp>
    <xdr:clientData/>
  </xdr:twoCellAnchor>
  <xdr:twoCellAnchor>
    <xdr:from>
      <xdr:col>5</xdr:col>
      <xdr:colOff>224975</xdr:colOff>
      <xdr:row>1</xdr:row>
      <xdr:rowOff>0</xdr:rowOff>
    </xdr:from>
    <xdr:to>
      <xdr:col>5</xdr:col>
      <xdr:colOff>224975</xdr:colOff>
      <xdr:row>7</xdr:row>
      <xdr:rowOff>6848</xdr:rowOff>
    </xdr:to>
    <xdr:cxnSp macro="">
      <xdr:nvCxnSpPr>
        <xdr:cNvPr id="17" name="Google Shape;7890;p302">
          <a:extLst>
            <a:ext uri="{FF2B5EF4-FFF2-40B4-BE49-F238E27FC236}">
              <a16:creationId xmlns:a16="http://schemas.microsoft.com/office/drawing/2014/main" id="{00000000-0008-0000-0600-000011000000}"/>
            </a:ext>
          </a:extLst>
        </xdr:cNvPr>
        <xdr:cNvCxnSpPr>
          <a:cxnSpLocks/>
        </xdr:cNvCxnSpPr>
      </xdr:nvCxnSpPr>
      <xdr:spPr>
        <a:xfrm>
          <a:off x="2853875" y="190500"/>
          <a:ext cx="0" cy="1149848"/>
        </a:xfrm>
        <a:prstGeom prst="straightConnector1">
          <a:avLst/>
        </a:prstGeom>
        <a:noFill/>
        <a:ln w="9525" cap="flat" cmpd="sng">
          <a:solidFill>
            <a:schemeClr val="lt2"/>
          </a:solidFill>
          <a:prstDash val="solid"/>
          <a:miter lim="800000"/>
          <a:headEnd type="none" w="sm" len="sm"/>
          <a:tailEnd type="none" w="sm" len="sm"/>
        </a:ln>
      </xdr:spPr>
    </xdr:cxnSp>
    <xdr:clientData/>
  </xdr:twoCellAnchor>
  <xdr:twoCellAnchor>
    <xdr:from>
      <xdr:col>1</xdr:col>
      <xdr:colOff>68601</xdr:colOff>
      <xdr:row>1</xdr:row>
      <xdr:rowOff>141580</xdr:rowOff>
    </xdr:from>
    <xdr:to>
      <xdr:col>5</xdr:col>
      <xdr:colOff>161785</xdr:colOff>
      <xdr:row>5</xdr:row>
      <xdr:rowOff>72326</xdr:rowOff>
    </xdr:to>
    <xdr:grpSp>
      <xdr:nvGrpSpPr>
        <xdr:cNvPr id="18" name="Group 17">
          <a:extLst>
            <a:ext uri="{FF2B5EF4-FFF2-40B4-BE49-F238E27FC236}">
              <a16:creationId xmlns:a16="http://schemas.microsoft.com/office/drawing/2014/main" id="{00000000-0008-0000-0600-000012000000}"/>
            </a:ext>
          </a:extLst>
        </xdr:cNvPr>
        <xdr:cNvGrpSpPr/>
      </xdr:nvGrpSpPr>
      <xdr:grpSpPr>
        <a:xfrm>
          <a:off x="266721" y="324460"/>
          <a:ext cx="2531584" cy="662266"/>
          <a:chOff x="2656994" y="1676486"/>
          <a:chExt cx="2531584" cy="692746"/>
        </a:xfrm>
      </xdr:grpSpPr>
      <xdr:grpSp>
        <xdr:nvGrpSpPr>
          <xdr:cNvPr id="21" name="Google Shape;7887;p302">
            <a:extLst>
              <a:ext uri="{FF2B5EF4-FFF2-40B4-BE49-F238E27FC236}">
                <a16:creationId xmlns:a16="http://schemas.microsoft.com/office/drawing/2014/main" id="{00000000-0008-0000-0600-000015000000}"/>
              </a:ext>
            </a:extLst>
          </xdr:cNvPr>
          <xdr:cNvGrpSpPr/>
        </xdr:nvGrpSpPr>
        <xdr:grpSpPr>
          <a:xfrm>
            <a:off x="3318753" y="1676486"/>
            <a:ext cx="1869825" cy="692746"/>
            <a:chOff x="1613474" y="1288575"/>
            <a:chExt cx="2016340" cy="692746"/>
          </a:xfrm>
        </xdr:grpSpPr>
        <xdr:sp macro="" textlink="">
          <xdr:nvSpPr>
            <xdr:cNvPr id="25" name="Google Shape;7888;p302">
              <a:extLst>
                <a:ext uri="{FF2B5EF4-FFF2-40B4-BE49-F238E27FC236}">
                  <a16:creationId xmlns:a16="http://schemas.microsoft.com/office/drawing/2014/main" id="{00000000-0008-0000-0600-000019000000}"/>
                </a:ext>
              </a:extLst>
            </xdr:cNvPr>
            <xdr:cNvSpPr txBox="1"/>
          </xdr:nvSpPr>
          <xdr:spPr>
            <a:xfrm>
              <a:off x="1613477" y="1519656"/>
              <a:ext cx="2016337" cy="461665"/>
            </a:xfrm>
            <a:prstGeom prst="rect">
              <a:avLst/>
            </a:prstGeom>
            <a:noFill/>
            <a:ln>
              <a:noFill/>
            </a:ln>
          </xdr:spPr>
          <xdr:txBody>
            <a:bodyPr spcFirstLastPara="1" wrap="square" lIns="91425" tIns="45700" rIns="91425" bIns="45700" anchor="t" anchorCtr="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rtl="0">
                <a:lnSpc>
                  <a:spcPct val="100000"/>
                </a:lnSpc>
                <a:spcBef>
                  <a:spcPts val="0"/>
                </a:spcBef>
                <a:spcAft>
                  <a:spcPts val="0"/>
                </a:spcAft>
                <a:buClr>
                  <a:srgbClr val="000000"/>
                </a:buClr>
                <a:buSzPts val="2400"/>
                <a:buFont typeface="Arial"/>
                <a:buNone/>
              </a:pPr>
              <a:r>
                <a:rPr lang="en-US" sz="2800" b="1" i="0" u="none" strike="noStrike" cap="none">
                  <a:solidFill>
                    <a:srgbClr val="19673D"/>
                  </a:solidFill>
                  <a:ea typeface="Lato Black"/>
                  <a:cs typeface="Lato Black"/>
                  <a:sym typeface="Lato Black"/>
                </a:rPr>
                <a:t>SITUATION</a:t>
              </a:r>
              <a:endParaRPr sz="1600" b="0" i="0" u="none" strike="noStrike" cap="none">
                <a:solidFill>
                  <a:srgbClr val="19673D"/>
                </a:solidFill>
                <a:ea typeface="Arial"/>
                <a:cs typeface="Arial"/>
                <a:sym typeface="Arial"/>
              </a:endParaRPr>
            </a:p>
          </xdr:txBody>
        </xdr:sp>
        <xdr:sp macro="" textlink="">
          <xdr:nvSpPr>
            <xdr:cNvPr id="26" name="Google Shape;7889;p302">
              <a:extLst>
                <a:ext uri="{FF2B5EF4-FFF2-40B4-BE49-F238E27FC236}">
                  <a16:creationId xmlns:a16="http://schemas.microsoft.com/office/drawing/2014/main" id="{00000000-0008-0000-0600-00001A000000}"/>
                </a:ext>
              </a:extLst>
            </xdr:cNvPr>
            <xdr:cNvSpPr txBox="1"/>
          </xdr:nvSpPr>
          <xdr:spPr>
            <a:xfrm>
              <a:off x="1613474" y="1288575"/>
              <a:ext cx="714497" cy="369332"/>
            </a:xfrm>
            <a:prstGeom prst="rect">
              <a:avLst/>
            </a:prstGeom>
            <a:noFill/>
            <a:ln>
              <a:noFill/>
            </a:ln>
          </xdr:spPr>
          <xdr:txBody>
            <a:bodyPr spcFirstLastPara="1" wrap="square" lIns="91425" tIns="45700" rIns="91425" bIns="45700" anchor="t" anchorCtr="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rtl="0">
                <a:lnSpc>
                  <a:spcPct val="100000"/>
                </a:lnSpc>
                <a:spcBef>
                  <a:spcPts val="0"/>
                </a:spcBef>
                <a:spcAft>
                  <a:spcPts val="0"/>
                </a:spcAft>
                <a:buClr>
                  <a:srgbClr val="000000"/>
                </a:buClr>
                <a:buSzPts val="1800"/>
                <a:buFont typeface="Arial"/>
                <a:buNone/>
              </a:pPr>
              <a:r>
                <a:rPr lang="en-US" sz="2000" b="0" i="0" u="none" strike="noStrike" cap="none">
                  <a:solidFill>
                    <a:srgbClr val="3F3F3F"/>
                  </a:solidFill>
                  <a:ea typeface="Lato Light"/>
                  <a:cs typeface="Lato Light"/>
                  <a:sym typeface="Lato Light"/>
                </a:rPr>
                <a:t>THE</a:t>
              </a:r>
              <a:endParaRPr sz="1600" b="0" i="0" u="none" strike="noStrike" cap="none">
                <a:solidFill>
                  <a:srgbClr val="000000"/>
                </a:solidFill>
                <a:ea typeface="Arial"/>
                <a:cs typeface="Arial"/>
                <a:sym typeface="Arial"/>
              </a:endParaRPr>
            </a:p>
          </xdr:txBody>
        </xdr:sp>
      </xdr:grpSp>
      <xdr:grpSp>
        <xdr:nvGrpSpPr>
          <xdr:cNvPr id="22" name="Group 21">
            <a:extLst>
              <a:ext uri="{FF2B5EF4-FFF2-40B4-BE49-F238E27FC236}">
                <a16:creationId xmlns:a16="http://schemas.microsoft.com/office/drawing/2014/main" id="{00000000-0008-0000-0600-000016000000}"/>
              </a:ext>
            </a:extLst>
          </xdr:cNvPr>
          <xdr:cNvGrpSpPr/>
        </xdr:nvGrpSpPr>
        <xdr:grpSpPr>
          <a:xfrm>
            <a:off x="2656994" y="1764113"/>
            <a:ext cx="662579" cy="563931"/>
            <a:chOff x="620960" y="4111492"/>
            <a:chExt cx="644465" cy="548514"/>
          </a:xfrm>
        </xdr:grpSpPr>
        <xdr:sp macro="" textlink="">
          <xdr:nvSpPr>
            <xdr:cNvPr id="23" name="Google Shape;235;p18">
              <a:extLst>
                <a:ext uri="{FF2B5EF4-FFF2-40B4-BE49-F238E27FC236}">
                  <a16:creationId xmlns:a16="http://schemas.microsoft.com/office/drawing/2014/main" id="{00000000-0008-0000-0600-000017000000}"/>
                </a:ext>
              </a:extLst>
            </xdr:cNvPr>
            <xdr:cNvSpPr/>
          </xdr:nvSpPr>
          <xdr:spPr>
            <a:xfrm>
              <a:off x="620960" y="4125420"/>
              <a:ext cx="534586" cy="534586"/>
            </a:xfrm>
            <a:prstGeom prst="ellipse">
              <a:avLst/>
            </a:prstGeom>
            <a:gradFill flip="none" rotWithShape="1">
              <a:gsLst>
                <a:gs pos="0">
                  <a:schemeClr val="bg1">
                    <a:lumMod val="85000"/>
                  </a:schemeClr>
                </a:gs>
                <a:gs pos="100000">
                  <a:schemeClr val="bg1">
                    <a:lumMod val="65000"/>
                  </a:schemeClr>
                </a:gs>
              </a:gsLst>
              <a:lin ang="0" scaled="1"/>
              <a:tileRect/>
            </a:gradFill>
            <a:ln>
              <a:noFill/>
            </a:ln>
            <a:effectLst>
              <a:innerShdw blurRad="63500" dist="50800" dir="18900000">
                <a:prstClr val="black">
                  <a:alpha val="40000"/>
                </a:prstClr>
              </a:inn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sz="1600">
                <a:solidFill>
                  <a:prstClr val="black">
                    <a:lumMod val="85000"/>
                    <a:lumOff val="15000"/>
                  </a:prstClr>
                </a:solidFill>
                <a:latin typeface="Calibri" panose="020F0502020204030204"/>
                <a:sym typeface="Lato Black"/>
              </a:endParaRPr>
            </a:p>
          </xdr:txBody>
        </xdr:sp>
        <xdr:pic>
          <xdr:nvPicPr>
            <xdr:cNvPr id="24" name="Google Shape;239;p18">
              <a:extLst>
                <a:ext uri="{FF2B5EF4-FFF2-40B4-BE49-F238E27FC236}">
                  <a16:creationId xmlns:a16="http://schemas.microsoft.com/office/drawing/2014/main" id="{00000000-0008-0000-0600-000018000000}"/>
                </a:ext>
              </a:extLst>
            </xdr:cNvPr>
            <xdr:cNvPicPr preferRelativeResize="0"/>
          </xdr:nvPicPr>
          <xdr:blipFill rotWithShape="1">
            <a:blip xmlns:r="http://schemas.openxmlformats.org/officeDocument/2006/relationships" r:embed="rId1">
              <a:alphaModFix/>
            </a:blip>
            <a:srcRect/>
            <a:stretch/>
          </xdr:blipFill>
          <xdr:spPr>
            <a:xfrm rot="-440344">
              <a:off x="705954" y="4111492"/>
              <a:ext cx="559471" cy="413193"/>
            </a:xfrm>
            <a:prstGeom prst="rect">
              <a:avLst/>
            </a:prstGeom>
            <a:noFill/>
            <a:ln>
              <a:noFill/>
            </a:ln>
          </xdr:spPr>
        </xdr:pic>
      </xdr:grpSp>
    </xdr:grpSp>
    <xdr:clientData/>
  </xdr:twoCellAnchor>
  <xdr:twoCellAnchor>
    <xdr:from>
      <xdr:col>1</xdr:col>
      <xdr:colOff>0</xdr:colOff>
      <xdr:row>7</xdr:row>
      <xdr:rowOff>166169</xdr:rowOff>
    </xdr:from>
    <xdr:to>
      <xdr:col>11</xdr:col>
      <xdr:colOff>107308</xdr:colOff>
      <xdr:row>10</xdr:row>
      <xdr:rowOff>56334</xdr:rowOff>
    </xdr:to>
    <xdr:sp macro="" textlink="">
      <xdr:nvSpPr>
        <xdr:cNvPr id="19" name="TextBox 35">
          <a:extLst>
            <a:ext uri="{FF2B5EF4-FFF2-40B4-BE49-F238E27FC236}">
              <a16:creationId xmlns:a16="http://schemas.microsoft.com/office/drawing/2014/main" id="{00000000-0008-0000-0600-000013000000}"/>
            </a:ext>
          </a:extLst>
        </xdr:cNvPr>
        <xdr:cNvSpPr txBox="1"/>
      </xdr:nvSpPr>
      <xdr:spPr>
        <a:xfrm>
          <a:off x="190500" y="1499669"/>
          <a:ext cx="6203308" cy="461665"/>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lvl="0">
            <a:spcAft>
              <a:spcPts val="1800"/>
            </a:spcAft>
            <a:defRPr/>
          </a:pPr>
          <a:r>
            <a:rPr lang="en-US" sz="2400" b="1">
              <a:solidFill>
                <a:prstClr val="black">
                  <a:lumMod val="85000"/>
                  <a:lumOff val="15000"/>
                </a:prstClr>
              </a:solidFill>
            </a:rPr>
            <a:t>TASKS:</a:t>
          </a:r>
          <a:endParaRPr lang="en-US" sz="2400" b="1">
            <a:solidFill>
              <a:schemeClr val="dk1"/>
            </a:solidFill>
          </a:endParaRPr>
        </a:p>
      </xdr:txBody>
    </xdr:sp>
    <xdr:clientData/>
  </xdr:twoCellAnchor>
  <xdr:twoCellAnchor>
    <xdr:from>
      <xdr:col>0</xdr:col>
      <xdr:colOff>-24768</xdr:colOff>
      <xdr:row>7</xdr:row>
      <xdr:rowOff>6848</xdr:rowOff>
    </xdr:from>
    <xdr:to>
      <xdr:col>15</xdr:col>
      <xdr:colOff>367813</xdr:colOff>
      <xdr:row>7</xdr:row>
      <xdr:rowOff>6848</xdr:rowOff>
    </xdr:to>
    <xdr:cxnSp macro="">
      <xdr:nvCxnSpPr>
        <xdr:cNvPr id="20" name="Google Shape;7890;p302">
          <a:extLst>
            <a:ext uri="{FF2B5EF4-FFF2-40B4-BE49-F238E27FC236}">
              <a16:creationId xmlns:a16="http://schemas.microsoft.com/office/drawing/2014/main" id="{00000000-0008-0000-0600-000014000000}"/>
            </a:ext>
          </a:extLst>
        </xdr:cNvPr>
        <xdr:cNvCxnSpPr>
          <a:cxnSpLocks/>
        </xdr:cNvCxnSpPr>
      </xdr:nvCxnSpPr>
      <xdr:spPr>
        <a:xfrm flipH="1">
          <a:off x="-24768" y="1340348"/>
          <a:ext cx="9117481" cy="0"/>
        </a:xfrm>
        <a:prstGeom prst="straightConnector1">
          <a:avLst/>
        </a:prstGeom>
        <a:noFill/>
        <a:ln w="9525" cap="flat" cmpd="sng">
          <a:solidFill>
            <a:schemeClr val="lt2"/>
          </a:solidFill>
          <a:prstDash val="solid"/>
          <a:miter lim="800000"/>
          <a:headEnd type="none" w="sm" len="sm"/>
          <a:tailEnd type="none" w="sm" len="sm"/>
        </a:ln>
      </xdr:spPr>
    </xdr:cxn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110490</xdr:colOff>
      <xdr:row>1</xdr:row>
      <xdr:rowOff>1213</xdr:rowOff>
    </xdr:from>
    <xdr:to>
      <xdr:col>1</xdr:col>
      <xdr:colOff>528666</xdr:colOff>
      <xdr:row>3</xdr:row>
      <xdr:rowOff>192232</xdr:rowOff>
    </xdr:to>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0490" y="198640"/>
          <a:ext cx="1027776" cy="585874"/>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5</xdr:col>
      <xdr:colOff>374297</xdr:colOff>
      <xdr:row>1</xdr:row>
      <xdr:rowOff>0</xdr:rowOff>
    </xdr:from>
    <xdr:to>
      <xdr:col>15</xdr:col>
      <xdr:colOff>367808</xdr:colOff>
      <xdr:row>5</xdr:row>
      <xdr:rowOff>161330</xdr:rowOff>
    </xdr:to>
    <xdr:sp macro="" textlink="">
      <xdr:nvSpPr>
        <xdr:cNvPr id="4" name="TextBox 19">
          <a:extLst>
            <a:ext uri="{FF2B5EF4-FFF2-40B4-BE49-F238E27FC236}">
              <a16:creationId xmlns:a16="http://schemas.microsoft.com/office/drawing/2014/main" id="{00000000-0008-0000-0A00-000004000000}"/>
            </a:ext>
          </a:extLst>
        </xdr:cNvPr>
        <xdr:cNvSpPr txBox="1"/>
      </xdr:nvSpPr>
      <xdr:spPr>
        <a:xfrm>
          <a:off x="3003197" y="190500"/>
          <a:ext cx="6089511" cy="923330"/>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lvl="0">
            <a:spcAft>
              <a:spcPts val="1800"/>
            </a:spcAft>
            <a:defRPr/>
          </a:pPr>
          <a:r>
            <a:rPr lang="en-US">
              <a:solidFill>
                <a:schemeClr val="dk1"/>
              </a:solidFill>
            </a:rPr>
            <a:t>You work for an </a:t>
          </a:r>
          <a:r>
            <a:rPr lang="en-US" b="1">
              <a:solidFill>
                <a:schemeClr val="dk1"/>
              </a:solidFill>
            </a:rPr>
            <a:t>international non-profit organization</a:t>
          </a:r>
          <a:r>
            <a:rPr lang="en-US">
              <a:solidFill>
                <a:schemeClr val="dk1"/>
              </a:solidFill>
            </a:rPr>
            <a:t> and you are preparing an Excel workbook to </a:t>
          </a:r>
          <a:r>
            <a:rPr lang="en-US" b="1">
              <a:solidFill>
                <a:schemeClr val="dk1"/>
              </a:solidFill>
            </a:rPr>
            <a:t>analyze development indicators</a:t>
          </a:r>
          <a:r>
            <a:rPr lang="en-US">
              <a:solidFill>
                <a:schemeClr val="dk1"/>
              </a:solidFill>
            </a:rPr>
            <a:t> by country</a:t>
          </a:r>
        </a:p>
      </xdr:txBody>
    </xdr:sp>
    <xdr:clientData/>
  </xdr:twoCellAnchor>
  <xdr:twoCellAnchor>
    <xdr:from>
      <xdr:col>1</xdr:col>
      <xdr:colOff>0</xdr:colOff>
      <xdr:row>10</xdr:row>
      <xdr:rowOff>107983</xdr:rowOff>
    </xdr:from>
    <xdr:to>
      <xdr:col>15</xdr:col>
      <xdr:colOff>191548</xdr:colOff>
      <xdr:row>25</xdr:row>
      <xdr:rowOff>174360</xdr:rowOff>
    </xdr:to>
    <xdr:sp macro="" textlink="">
      <xdr:nvSpPr>
        <xdr:cNvPr id="5" name="TextBox 21">
          <a:extLst>
            <a:ext uri="{FF2B5EF4-FFF2-40B4-BE49-F238E27FC236}">
              <a16:creationId xmlns:a16="http://schemas.microsoft.com/office/drawing/2014/main" id="{00000000-0008-0000-0A00-000005000000}"/>
            </a:ext>
          </a:extLst>
        </xdr:cNvPr>
        <xdr:cNvSpPr txBox="1"/>
      </xdr:nvSpPr>
      <xdr:spPr>
        <a:xfrm>
          <a:off x="190500" y="2012983"/>
          <a:ext cx="8725948" cy="292387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342900" lvl="0" indent="-342900">
            <a:spcAft>
              <a:spcPts val="1200"/>
            </a:spcAft>
            <a:buFont typeface="+mj-lt"/>
            <a:buAutoNum type="arabicPeriod"/>
            <a:defRPr/>
          </a:pPr>
          <a:r>
            <a:rPr lang="en-US" sz="1600">
              <a:solidFill>
                <a:schemeClr val="dk1"/>
              </a:solidFill>
            </a:rPr>
            <a:t>On the </a:t>
          </a:r>
          <a:r>
            <a:rPr lang="en-US" sz="1600" b="1">
              <a:solidFill>
                <a:schemeClr val="dk1"/>
              </a:solidFill>
            </a:rPr>
            <a:t>Indicators </a:t>
          </a:r>
          <a:r>
            <a:rPr lang="en-US" sz="1600">
              <a:solidFill>
                <a:schemeClr val="dk1"/>
              </a:solidFill>
            </a:rPr>
            <a:t>worksheet, remove duplicates from the Indicators table by only considering the values in the </a:t>
          </a:r>
          <a:r>
            <a:rPr lang="en-US" sz="1600" b="1">
              <a:solidFill>
                <a:schemeClr val="dk1"/>
              </a:solidFill>
            </a:rPr>
            <a:t>Country</a:t>
          </a:r>
          <a:r>
            <a:rPr lang="en-US" sz="1600">
              <a:solidFill>
                <a:schemeClr val="dk1"/>
              </a:solidFill>
            </a:rPr>
            <a:t> column</a:t>
          </a:r>
        </a:p>
        <a:p>
          <a:pPr marL="342900" lvl="0" indent="-342900">
            <a:spcAft>
              <a:spcPts val="1200"/>
            </a:spcAft>
            <a:buFont typeface="+mj-lt"/>
            <a:buAutoNum type="arabicPeriod"/>
            <a:defRPr/>
          </a:pPr>
          <a:r>
            <a:rPr lang="en-US" sz="1600">
              <a:solidFill>
                <a:schemeClr val="dk1"/>
              </a:solidFill>
            </a:rPr>
            <a:t>Add </a:t>
          </a:r>
          <a:r>
            <a:rPr lang="en-US" sz="1600" b="1">
              <a:solidFill>
                <a:schemeClr val="dk1"/>
              </a:solidFill>
            </a:rPr>
            <a:t>Spanish (Mexico)</a:t>
          </a:r>
          <a:r>
            <a:rPr lang="en-US" sz="1600">
              <a:solidFill>
                <a:schemeClr val="dk1"/>
              </a:solidFill>
            </a:rPr>
            <a:t> as an authoring language and modify the Proofing options to allow </a:t>
          </a:r>
          <a:r>
            <a:rPr lang="en-US" sz="1600" b="1">
              <a:solidFill>
                <a:schemeClr val="dk1"/>
              </a:solidFill>
            </a:rPr>
            <a:t>Spanish Tuteo verb forms only</a:t>
          </a:r>
        </a:p>
        <a:p>
          <a:pPr marL="342900" lvl="0" indent="-342900">
            <a:spcAft>
              <a:spcPts val="1200"/>
            </a:spcAft>
            <a:buFont typeface="+mj-lt"/>
            <a:buAutoNum type="arabicPeriod"/>
            <a:defRPr/>
          </a:pPr>
          <a:r>
            <a:rPr lang="en-US" sz="1600">
              <a:solidFill>
                <a:schemeClr val="dk1"/>
              </a:solidFill>
            </a:rPr>
            <a:t>Disable all macros </a:t>
          </a:r>
          <a:r>
            <a:rPr lang="en-US" sz="1600" b="1">
              <a:solidFill>
                <a:schemeClr val="dk1"/>
              </a:solidFill>
            </a:rPr>
            <a:t>except</a:t>
          </a:r>
          <a:r>
            <a:rPr lang="en-US" sz="1600">
              <a:solidFill>
                <a:schemeClr val="dk1"/>
              </a:solidFill>
            </a:rPr>
            <a:t> </a:t>
          </a:r>
          <a:r>
            <a:rPr lang="en-US" sz="1600" b="1">
              <a:solidFill>
                <a:schemeClr val="dk1"/>
              </a:solidFill>
            </a:rPr>
            <a:t>digitally signed macros </a:t>
          </a:r>
          <a:r>
            <a:rPr lang="en-US" sz="1600">
              <a:solidFill>
                <a:schemeClr val="dk1"/>
              </a:solidFill>
            </a:rPr>
            <a:t>in this workbook</a:t>
          </a:r>
        </a:p>
        <a:p>
          <a:pPr marL="342900" lvl="0" indent="-342900">
            <a:spcAft>
              <a:spcPts val="1200"/>
            </a:spcAft>
            <a:buFont typeface="+mj-lt"/>
            <a:buAutoNum type="arabicPeriod"/>
            <a:defRPr/>
          </a:pPr>
          <a:r>
            <a:rPr lang="en-US" sz="1600">
              <a:solidFill>
                <a:schemeClr val="dk1"/>
              </a:solidFill>
            </a:rPr>
            <a:t>For the Pivot Table on the </a:t>
          </a:r>
          <a:r>
            <a:rPr lang="en-US" sz="1600" b="1">
              <a:solidFill>
                <a:schemeClr val="dk1"/>
              </a:solidFill>
            </a:rPr>
            <a:t>Region Summary </a:t>
          </a:r>
          <a:r>
            <a:rPr lang="en-US" sz="1600">
              <a:solidFill>
                <a:schemeClr val="dk1"/>
              </a:solidFill>
            </a:rPr>
            <a:t>worksheet, sort the Region descending by </a:t>
          </a:r>
          <a:r>
            <a:rPr lang="en-US" sz="1600" b="1">
              <a:solidFill>
                <a:schemeClr val="dk1"/>
              </a:solidFill>
            </a:rPr>
            <a:t>Sum of Population</a:t>
          </a:r>
        </a:p>
        <a:p>
          <a:pPr marL="342900" lvl="0" indent="-342900">
            <a:spcAft>
              <a:spcPts val="1200"/>
            </a:spcAft>
            <a:buFont typeface="+mj-lt"/>
            <a:buAutoNum type="arabicPeriod"/>
            <a:defRPr/>
          </a:pPr>
          <a:r>
            <a:rPr lang="en-US" sz="1600">
              <a:solidFill>
                <a:schemeClr val="dk1"/>
              </a:solidFill>
            </a:rPr>
            <a:t>On the </a:t>
          </a:r>
          <a:r>
            <a:rPr lang="en-US" sz="1600" b="1">
              <a:solidFill>
                <a:schemeClr val="dk1"/>
              </a:solidFill>
            </a:rPr>
            <a:t>Region Summary </a:t>
          </a:r>
          <a:r>
            <a:rPr lang="en-US" sz="1600">
              <a:solidFill>
                <a:schemeClr val="dk1"/>
              </a:solidFill>
            </a:rPr>
            <a:t>worksheet, add a calculated field called “Population Density” to the Pivot Table that is equal to </a:t>
          </a:r>
          <a:r>
            <a:rPr lang="en-US" sz="1600" b="1">
              <a:solidFill>
                <a:schemeClr val="dk1"/>
              </a:solidFill>
            </a:rPr>
            <a:t>Population</a:t>
          </a:r>
          <a:r>
            <a:rPr lang="en-US" sz="1600">
              <a:solidFill>
                <a:schemeClr val="dk1"/>
              </a:solidFill>
            </a:rPr>
            <a:t> divided by </a:t>
          </a:r>
          <a:r>
            <a:rPr lang="en-US" sz="1600" b="1">
              <a:solidFill>
                <a:schemeClr val="dk1"/>
              </a:solidFill>
            </a:rPr>
            <a:t>Area</a:t>
          </a:r>
          <a:endParaRPr lang="en-US" sz="1600" b="1">
            <a:solidFill>
              <a:prstClr val="black">
                <a:lumMod val="85000"/>
                <a:lumOff val="15000"/>
              </a:prstClr>
            </a:solidFill>
          </a:endParaRPr>
        </a:p>
      </xdr:txBody>
    </xdr:sp>
    <xdr:clientData/>
  </xdr:twoCellAnchor>
  <xdr:twoCellAnchor>
    <xdr:from>
      <xdr:col>5</xdr:col>
      <xdr:colOff>224975</xdr:colOff>
      <xdr:row>1</xdr:row>
      <xdr:rowOff>0</xdr:rowOff>
    </xdr:from>
    <xdr:to>
      <xdr:col>5</xdr:col>
      <xdr:colOff>224975</xdr:colOff>
      <xdr:row>7</xdr:row>
      <xdr:rowOff>6848</xdr:rowOff>
    </xdr:to>
    <xdr:cxnSp macro="">
      <xdr:nvCxnSpPr>
        <xdr:cNvPr id="6" name="Google Shape;7890;p302">
          <a:extLst>
            <a:ext uri="{FF2B5EF4-FFF2-40B4-BE49-F238E27FC236}">
              <a16:creationId xmlns:a16="http://schemas.microsoft.com/office/drawing/2014/main" id="{00000000-0008-0000-0A00-000006000000}"/>
            </a:ext>
          </a:extLst>
        </xdr:cNvPr>
        <xdr:cNvCxnSpPr>
          <a:cxnSpLocks/>
        </xdr:cNvCxnSpPr>
      </xdr:nvCxnSpPr>
      <xdr:spPr>
        <a:xfrm>
          <a:off x="2853875" y="190500"/>
          <a:ext cx="0" cy="1149848"/>
        </a:xfrm>
        <a:prstGeom prst="straightConnector1">
          <a:avLst/>
        </a:prstGeom>
        <a:noFill/>
        <a:ln w="9525" cap="flat" cmpd="sng">
          <a:solidFill>
            <a:schemeClr val="lt2"/>
          </a:solidFill>
          <a:prstDash val="solid"/>
          <a:miter lim="800000"/>
          <a:headEnd type="none" w="sm" len="sm"/>
          <a:tailEnd type="none" w="sm" len="sm"/>
        </a:ln>
      </xdr:spPr>
    </xdr:cxnSp>
    <xdr:clientData/>
  </xdr:twoCellAnchor>
  <xdr:twoCellAnchor>
    <xdr:from>
      <xdr:col>1</xdr:col>
      <xdr:colOff>68601</xdr:colOff>
      <xdr:row>1</xdr:row>
      <xdr:rowOff>141580</xdr:rowOff>
    </xdr:from>
    <xdr:to>
      <xdr:col>5</xdr:col>
      <xdr:colOff>161785</xdr:colOff>
      <xdr:row>5</xdr:row>
      <xdr:rowOff>72326</xdr:rowOff>
    </xdr:to>
    <xdr:grpSp>
      <xdr:nvGrpSpPr>
        <xdr:cNvPr id="7" name="Group 6">
          <a:extLst>
            <a:ext uri="{FF2B5EF4-FFF2-40B4-BE49-F238E27FC236}">
              <a16:creationId xmlns:a16="http://schemas.microsoft.com/office/drawing/2014/main" id="{00000000-0008-0000-0A00-000007000000}"/>
            </a:ext>
          </a:extLst>
        </xdr:cNvPr>
        <xdr:cNvGrpSpPr/>
      </xdr:nvGrpSpPr>
      <xdr:grpSpPr>
        <a:xfrm>
          <a:off x="266721" y="324460"/>
          <a:ext cx="2531584" cy="662266"/>
          <a:chOff x="2656994" y="1676486"/>
          <a:chExt cx="2531584" cy="692746"/>
        </a:xfrm>
      </xdr:grpSpPr>
      <xdr:grpSp>
        <xdr:nvGrpSpPr>
          <xdr:cNvPr id="10" name="Google Shape;7887;p302">
            <a:extLst>
              <a:ext uri="{FF2B5EF4-FFF2-40B4-BE49-F238E27FC236}">
                <a16:creationId xmlns:a16="http://schemas.microsoft.com/office/drawing/2014/main" id="{00000000-0008-0000-0A00-00000A000000}"/>
              </a:ext>
            </a:extLst>
          </xdr:cNvPr>
          <xdr:cNvGrpSpPr/>
        </xdr:nvGrpSpPr>
        <xdr:grpSpPr>
          <a:xfrm>
            <a:off x="3318753" y="1676486"/>
            <a:ext cx="1869825" cy="692746"/>
            <a:chOff x="1613474" y="1288575"/>
            <a:chExt cx="2016340" cy="692746"/>
          </a:xfrm>
        </xdr:grpSpPr>
        <xdr:sp macro="" textlink="">
          <xdr:nvSpPr>
            <xdr:cNvPr id="14" name="Google Shape;7888;p302">
              <a:extLst>
                <a:ext uri="{FF2B5EF4-FFF2-40B4-BE49-F238E27FC236}">
                  <a16:creationId xmlns:a16="http://schemas.microsoft.com/office/drawing/2014/main" id="{00000000-0008-0000-0A00-00000E000000}"/>
                </a:ext>
              </a:extLst>
            </xdr:cNvPr>
            <xdr:cNvSpPr txBox="1"/>
          </xdr:nvSpPr>
          <xdr:spPr>
            <a:xfrm>
              <a:off x="1613477" y="1519656"/>
              <a:ext cx="2016337" cy="461665"/>
            </a:xfrm>
            <a:prstGeom prst="rect">
              <a:avLst/>
            </a:prstGeom>
            <a:noFill/>
            <a:ln>
              <a:noFill/>
            </a:ln>
          </xdr:spPr>
          <xdr:txBody>
            <a:bodyPr spcFirstLastPara="1" wrap="square" lIns="91425" tIns="45700" rIns="91425" bIns="45700" anchor="t" anchorCtr="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rtl="0">
                <a:lnSpc>
                  <a:spcPct val="100000"/>
                </a:lnSpc>
                <a:spcBef>
                  <a:spcPts val="0"/>
                </a:spcBef>
                <a:spcAft>
                  <a:spcPts val="0"/>
                </a:spcAft>
                <a:buClr>
                  <a:srgbClr val="000000"/>
                </a:buClr>
                <a:buSzPts val="2400"/>
                <a:buFont typeface="Arial"/>
                <a:buNone/>
              </a:pPr>
              <a:r>
                <a:rPr lang="en-US" sz="2800" b="1" i="0" u="none" strike="noStrike" cap="none">
                  <a:solidFill>
                    <a:srgbClr val="19673D"/>
                  </a:solidFill>
                  <a:ea typeface="Lato Black"/>
                  <a:cs typeface="Lato Black"/>
                  <a:sym typeface="Lato Black"/>
                </a:rPr>
                <a:t>SITUATION</a:t>
              </a:r>
              <a:endParaRPr sz="1600" b="0" i="0" u="none" strike="noStrike" cap="none">
                <a:solidFill>
                  <a:srgbClr val="19673D"/>
                </a:solidFill>
                <a:ea typeface="Arial"/>
                <a:cs typeface="Arial"/>
                <a:sym typeface="Arial"/>
              </a:endParaRPr>
            </a:p>
          </xdr:txBody>
        </xdr:sp>
        <xdr:sp macro="" textlink="">
          <xdr:nvSpPr>
            <xdr:cNvPr id="15" name="Google Shape;7889;p302">
              <a:extLst>
                <a:ext uri="{FF2B5EF4-FFF2-40B4-BE49-F238E27FC236}">
                  <a16:creationId xmlns:a16="http://schemas.microsoft.com/office/drawing/2014/main" id="{00000000-0008-0000-0A00-00000F000000}"/>
                </a:ext>
              </a:extLst>
            </xdr:cNvPr>
            <xdr:cNvSpPr txBox="1"/>
          </xdr:nvSpPr>
          <xdr:spPr>
            <a:xfrm>
              <a:off x="1613474" y="1288575"/>
              <a:ext cx="714497" cy="369332"/>
            </a:xfrm>
            <a:prstGeom prst="rect">
              <a:avLst/>
            </a:prstGeom>
            <a:noFill/>
            <a:ln>
              <a:noFill/>
            </a:ln>
          </xdr:spPr>
          <xdr:txBody>
            <a:bodyPr spcFirstLastPara="1" wrap="square" lIns="91425" tIns="45700" rIns="91425" bIns="45700" anchor="t" anchorCtr="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rtl="0">
                <a:lnSpc>
                  <a:spcPct val="100000"/>
                </a:lnSpc>
                <a:spcBef>
                  <a:spcPts val="0"/>
                </a:spcBef>
                <a:spcAft>
                  <a:spcPts val="0"/>
                </a:spcAft>
                <a:buClr>
                  <a:srgbClr val="000000"/>
                </a:buClr>
                <a:buSzPts val="1800"/>
                <a:buFont typeface="Arial"/>
                <a:buNone/>
              </a:pPr>
              <a:r>
                <a:rPr lang="en-US" sz="2000" b="0" i="0" u="none" strike="noStrike" cap="none">
                  <a:solidFill>
                    <a:srgbClr val="3F3F3F"/>
                  </a:solidFill>
                  <a:ea typeface="Lato Light"/>
                  <a:cs typeface="Lato Light"/>
                  <a:sym typeface="Lato Light"/>
                </a:rPr>
                <a:t>THE</a:t>
              </a:r>
              <a:endParaRPr sz="1600" b="0" i="0" u="none" strike="noStrike" cap="none">
                <a:solidFill>
                  <a:srgbClr val="000000"/>
                </a:solidFill>
                <a:ea typeface="Arial"/>
                <a:cs typeface="Arial"/>
                <a:sym typeface="Arial"/>
              </a:endParaRPr>
            </a:p>
          </xdr:txBody>
        </xdr:sp>
      </xdr:grpSp>
      <xdr:grpSp>
        <xdr:nvGrpSpPr>
          <xdr:cNvPr id="11" name="Group 10">
            <a:extLst>
              <a:ext uri="{FF2B5EF4-FFF2-40B4-BE49-F238E27FC236}">
                <a16:creationId xmlns:a16="http://schemas.microsoft.com/office/drawing/2014/main" id="{00000000-0008-0000-0A00-00000B000000}"/>
              </a:ext>
            </a:extLst>
          </xdr:cNvPr>
          <xdr:cNvGrpSpPr/>
        </xdr:nvGrpSpPr>
        <xdr:grpSpPr>
          <a:xfrm>
            <a:off x="2656994" y="1764113"/>
            <a:ext cx="662579" cy="563931"/>
            <a:chOff x="620960" y="4111492"/>
            <a:chExt cx="644465" cy="548514"/>
          </a:xfrm>
        </xdr:grpSpPr>
        <xdr:sp macro="" textlink="">
          <xdr:nvSpPr>
            <xdr:cNvPr id="12" name="Google Shape;235;p18">
              <a:extLst>
                <a:ext uri="{FF2B5EF4-FFF2-40B4-BE49-F238E27FC236}">
                  <a16:creationId xmlns:a16="http://schemas.microsoft.com/office/drawing/2014/main" id="{00000000-0008-0000-0A00-00000C000000}"/>
                </a:ext>
              </a:extLst>
            </xdr:cNvPr>
            <xdr:cNvSpPr/>
          </xdr:nvSpPr>
          <xdr:spPr>
            <a:xfrm>
              <a:off x="620960" y="4125420"/>
              <a:ext cx="534586" cy="534586"/>
            </a:xfrm>
            <a:prstGeom prst="ellipse">
              <a:avLst/>
            </a:prstGeom>
            <a:gradFill flip="none" rotWithShape="1">
              <a:gsLst>
                <a:gs pos="0">
                  <a:schemeClr val="bg1">
                    <a:lumMod val="85000"/>
                  </a:schemeClr>
                </a:gs>
                <a:gs pos="100000">
                  <a:schemeClr val="bg1">
                    <a:lumMod val="65000"/>
                  </a:schemeClr>
                </a:gs>
              </a:gsLst>
              <a:lin ang="0" scaled="1"/>
              <a:tileRect/>
            </a:gradFill>
            <a:ln>
              <a:noFill/>
            </a:ln>
            <a:effectLst>
              <a:innerShdw blurRad="63500" dist="50800" dir="18900000">
                <a:prstClr val="black">
                  <a:alpha val="40000"/>
                </a:prstClr>
              </a:inn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sz="1600">
                <a:solidFill>
                  <a:prstClr val="black">
                    <a:lumMod val="85000"/>
                    <a:lumOff val="15000"/>
                  </a:prstClr>
                </a:solidFill>
                <a:latin typeface="Calibri" panose="020F0502020204030204"/>
                <a:sym typeface="Lato Black"/>
              </a:endParaRPr>
            </a:p>
          </xdr:txBody>
        </xdr:sp>
        <xdr:pic>
          <xdr:nvPicPr>
            <xdr:cNvPr id="13" name="Google Shape;239;p18">
              <a:extLst>
                <a:ext uri="{FF2B5EF4-FFF2-40B4-BE49-F238E27FC236}">
                  <a16:creationId xmlns:a16="http://schemas.microsoft.com/office/drawing/2014/main" id="{00000000-0008-0000-0A00-00000D000000}"/>
                </a:ext>
              </a:extLst>
            </xdr:cNvPr>
            <xdr:cNvPicPr preferRelativeResize="0"/>
          </xdr:nvPicPr>
          <xdr:blipFill rotWithShape="1">
            <a:blip xmlns:r="http://schemas.openxmlformats.org/officeDocument/2006/relationships" r:embed="rId1">
              <a:alphaModFix/>
            </a:blip>
            <a:srcRect/>
            <a:stretch/>
          </xdr:blipFill>
          <xdr:spPr>
            <a:xfrm rot="-440344">
              <a:off x="705954" y="4111492"/>
              <a:ext cx="559471" cy="413193"/>
            </a:xfrm>
            <a:prstGeom prst="rect">
              <a:avLst/>
            </a:prstGeom>
            <a:noFill/>
            <a:ln>
              <a:noFill/>
            </a:ln>
          </xdr:spPr>
        </xdr:pic>
      </xdr:grpSp>
    </xdr:grpSp>
    <xdr:clientData/>
  </xdr:twoCellAnchor>
  <xdr:twoCellAnchor>
    <xdr:from>
      <xdr:col>1</xdr:col>
      <xdr:colOff>0</xdr:colOff>
      <xdr:row>7</xdr:row>
      <xdr:rowOff>166169</xdr:rowOff>
    </xdr:from>
    <xdr:to>
      <xdr:col>11</xdr:col>
      <xdr:colOff>107308</xdr:colOff>
      <xdr:row>10</xdr:row>
      <xdr:rowOff>56334</xdr:rowOff>
    </xdr:to>
    <xdr:sp macro="" textlink="">
      <xdr:nvSpPr>
        <xdr:cNvPr id="8" name="TextBox 35">
          <a:extLst>
            <a:ext uri="{FF2B5EF4-FFF2-40B4-BE49-F238E27FC236}">
              <a16:creationId xmlns:a16="http://schemas.microsoft.com/office/drawing/2014/main" id="{00000000-0008-0000-0A00-000008000000}"/>
            </a:ext>
          </a:extLst>
        </xdr:cNvPr>
        <xdr:cNvSpPr txBox="1"/>
      </xdr:nvSpPr>
      <xdr:spPr>
        <a:xfrm>
          <a:off x="190500" y="1499669"/>
          <a:ext cx="6203308" cy="461665"/>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lvl="0">
            <a:spcAft>
              <a:spcPts val="1800"/>
            </a:spcAft>
            <a:defRPr/>
          </a:pPr>
          <a:r>
            <a:rPr lang="en-US" sz="2400" b="1">
              <a:solidFill>
                <a:prstClr val="black">
                  <a:lumMod val="85000"/>
                  <a:lumOff val="15000"/>
                </a:prstClr>
              </a:solidFill>
            </a:rPr>
            <a:t>TASKS:</a:t>
          </a:r>
          <a:endParaRPr lang="en-US" sz="2400" b="1">
            <a:solidFill>
              <a:schemeClr val="dk1"/>
            </a:solidFill>
          </a:endParaRPr>
        </a:p>
      </xdr:txBody>
    </xdr:sp>
    <xdr:clientData/>
  </xdr:twoCellAnchor>
  <xdr:twoCellAnchor>
    <xdr:from>
      <xdr:col>0</xdr:col>
      <xdr:colOff>-24768</xdr:colOff>
      <xdr:row>7</xdr:row>
      <xdr:rowOff>6848</xdr:rowOff>
    </xdr:from>
    <xdr:to>
      <xdr:col>15</xdr:col>
      <xdr:colOff>367813</xdr:colOff>
      <xdr:row>7</xdr:row>
      <xdr:rowOff>6848</xdr:rowOff>
    </xdr:to>
    <xdr:cxnSp macro="">
      <xdr:nvCxnSpPr>
        <xdr:cNvPr id="9" name="Google Shape;7890;p302">
          <a:extLst>
            <a:ext uri="{FF2B5EF4-FFF2-40B4-BE49-F238E27FC236}">
              <a16:creationId xmlns:a16="http://schemas.microsoft.com/office/drawing/2014/main" id="{00000000-0008-0000-0A00-000009000000}"/>
            </a:ext>
          </a:extLst>
        </xdr:cNvPr>
        <xdr:cNvCxnSpPr>
          <a:cxnSpLocks/>
        </xdr:cNvCxnSpPr>
      </xdr:nvCxnSpPr>
      <xdr:spPr>
        <a:xfrm flipH="1">
          <a:off x="-24768" y="1340348"/>
          <a:ext cx="9117481" cy="0"/>
        </a:xfrm>
        <a:prstGeom prst="straightConnector1">
          <a:avLst/>
        </a:prstGeom>
        <a:noFill/>
        <a:ln w="9525" cap="flat" cmpd="sng">
          <a:solidFill>
            <a:schemeClr val="lt2"/>
          </a:solidFill>
          <a:prstDash val="solid"/>
          <a:miter lim="800000"/>
          <a:headEnd type="none" w="sm" len="sm"/>
          <a:tailEnd type="none" w="sm" len="sm"/>
        </a:ln>
      </xdr:spPr>
    </xdr:cxn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374299</xdr:colOff>
      <xdr:row>1</xdr:row>
      <xdr:rowOff>0</xdr:rowOff>
    </xdr:from>
    <xdr:to>
      <xdr:col>15</xdr:col>
      <xdr:colOff>29885</xdr:colOff>
      <xdr:row>5</xdr:row>
      <xdr:rowOff>161330</xdr:rowOff>
    </xdr:to>
    <xdr:sp macro="" textlink="">
      <xdr:nvSpPr>
        <xdr:cNvPr id="3" name="TextBox 19">
          <a:extLst>
            <a:ext uri="{FF2B5EF4-FFF2-40B4-BE49-F238E27FC236}">
              <a16:creationId xmlns:a16="http://schemas.microsoft.com/office/drawing/2014/main" id="{00000000-0008-0000-0D00-000003000000}"/>
            </a:ext>
          </a:extLst>
        </xdr:cNvPr>
        <xdr:cNvSpPr txBox="1"/>
      </xdr:nvSpPr>
      <xdr:spPr>
        <a:xfrm>
          <a:off x="3003199" y="190500"/>
          <a:ext cx="5751586" cy="923330"/>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lvl="0">
            <a:spcAft>
              <a:spcPts val="1800"/>
            </a:spcAft>
            <a:defRPr/>
          </a:pPr>
          <a:r>
            <a:rPr lang="en-US">
              <a:solidFill>
                <a:schemeClr val="dk1"/>
              </a:solidFill>
            </a:rPr>
            <a:t>You are the Head of Purchasing at a </a:t>
          </a:r>
          <a:r>
            <a:rPr lang="en-US" b="1">
              <a:solidFill>
                <a:schemeClr val="dk1"/>
              </a:solidFill>
            </a:rPr>
            <a:t>regional winery</a:t>
          </a:r>
          <a:r>
            <a:rPr lang="en-US">
              <a:solidFill>
                <a:schemeClr val="dk1"/>
              </a:solidFill>
            </a:rPr>
            <a:t> and you are preparing an Excel workbook to </a:t>
          </a:r>
          <a:r>
            <a:rPr lang="en-US" b="1">
              <a:solidFill>
                <a:schemeClr val="dk1"/>
              </a:solidFill>
            </a:rPr>
            <a:t>track your current inventory and orders</a:t>
          </a:r>
          <a:endParaRPr lang="en-US">
            <a:solidFill>
              <a:schemeClr val="dk1"/>
            </a:solidFill>
          </a:endParaRPr>
        </a:p>
      </xdr:txBody>
    </xdr:sp>
    <xdr:clientData/>
  </xdr:twoCellAnchor>
  <xdr:twoCellAnchor>
    <xdr:from>
      <xdr:col>1</xdr:col>
      <xdr:colOff>0</xdr:colOff>
      <xdr:row>10</xdr:row>
      <xdr:rowOff>107983</xdr:rowOff>
    </xdr:from>
    <xdr:to>
      <xdr:col>15</xdr:col>
      <xdr:colOff>191548</xdr:colOff>
      <xdr:row>22</xdr:row>
      <xdr:rowOff>99530</xdr:rowOff>
    </xdr:to>
    <xdr:sp macro="" textlink="">
      <xdr:nvSpPr>
        <xdr:cNvPr id="4" name="TextBox 21">
          <a:extLst>
            <a:ext uri="{FF2B5EF4-FFF2-40B4-BE49-F238E27FC236}">
              <a16:creationId xmlns:a16="http://schemas.microsoft.com/office/drawing/2014/main" id="{00000000-0008-0000-0D00-000004000000}"/>
            </a:ext>
          </a:extLst>
        </xdr:cNvPr>
        <xdr:cNvSpPr txBox="1"/>
      </xdr:nvSpPr>
      <xdr:spPr>
        <a:xfrm>
          <a:off x="190500" y="2012983"/>
          <a:ext cx="8725948" cy="227754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342900" lvl="0" indent="-342900">
            <a:spcAft>
              <a:spcPts val="1200"/>
            </a:spcAft>
            <a:buFont typeface="+mj-lt"/>
            <a:buAutoNum type="arabicPeriod"/>
            <a:defRPr/>
          </a:pPr>
          <a:r>
            <a:rPr lang="en-US" sz="1600">
              <a:solidFill>
                <a:schemeClr val="dk1"/>
              </a:solidFill>
            </a:rPr>
            <a:t>In cell </a:t>
          </a:r>
          <a:r>
            <a:rPr lang="en-US" sz="1600" b="1">
              <a:solidFill>
                <a:schemeClr val="dk1"/>
              </a:solidFill>
            </a:rPr>
            <a:t>F2</a:t>
          </a:r>
          <a:r>
            <a:rPr lang="en-US" sz="1600">
              <a:solidFill>
                <a:schemeClr val="dk1"/>
              </a:solidFill>
            </a:rPr>
            <a:t> of the </a:t>
          </a:r>
          <a:r>
            <a:rPr lang="en-US" sz="1600" b="1">
              <a:solidFill>
                <a:schemeClr val="dk1"/>
              </a:solidFill>
            </a:rPr>
            <a:t>Inventory</a:t>
          </a:r>
          <a:r>
            <a:rPr lang="en-US" sz="1600">
              <a:solidFill>
                <a:schemeClr val="dk1"/>
              </a:solidFill>
            </a:rPr>
            <a:t> worksheet, write the year between parenthesis in the </a:t>
          </a:r>
          <a:r>
            <a:rPr lang="en-US" sz="1600" b="1">
              <a:solidFill>
                <a:schemeClr val="dk1"/>
              </a:solidFill>
            </a:rPr>
            <a:t>Name</a:t>
          </a:r>
          <a:r>
            <a:rPr lang="en-US" sz="1600">
              <a:solidFill>
                <a:schemeClr val="dk1"/>
              </a:solidFill>
            </a:rPr>
            <a:t> column and use Flash Fill to fill in the year for the rest of the wines in the inventory</a:t>
          </a:r>
        </a:p>
        <a:p>
          <a:pPr marL="342900" lvl="0" indent="-342900">
            <a:spcAft>
              <a:spcPts val="1200"/>
            </a:spcAft>
            <a:buFont typeface="+mj-lt"/>
            <a:buAutoNum type="arabicPeriod"/>
            <a:defRPr/>
          </a:pPr>
          <a:r>
            <a:rPr lang="en-US" sz="1600">
              <a:solidFill>
                <a:schemeClr val="dk1"/>
              </a:solidFill>
            </a:rPr>
            <a:t>On the </a:t>
          </a:r>
          <a:r>
            <a:rPr lang="en-US" sz="1600" b="1">
              <a:solidFill>
                <a:schemeClr val="dk1"/>
              </a:solidFill>
            </a:rPr>
            <a:t>Inventory </a:t>
          </a:r>
          <a:r>
            <a:rPr lang="en-US" sz="1600">
              <a:solidFill>
                <a:schemeClr val="dk1"/>
              </a:solidFill>
            </a:rPr>
            <a:t>worksheet, create a formula based conditional formatting rule to range </a:t>
          </a:r>
          <a:r>
            <a:rPr lang="en-US" sz="1600" b="1">
              <a:solidFill>
                <a:schemeClr val="dk1"/>
              </a:solidFill>
            </a:rPr>
            <a:t>A2:I101</a:t>
          </a:r>
          <a:r>
            <a:rPr lang="en-US" sz="1600">
              <a:solidFill>
                <a:schemeClr val="dk1"/>
              </a:solidFill>
            </a:rPr>
            <a:t> that applies a bold font and light orange fill to rows where the </a:t>
          </a:r>
          <a:r>
            <a:rPr lang="en-US" sz="1600" b="1">
              <a:solidFill>
                <a:schemeClr val="dk1"/>
              </a:solidFill>
            </a:rPr>
            <a:t>Stock on Hand </a:t>
          </a:r>
          <a:r>
            <a:rPr lang="en-US" sz="1600">
              <a:solidFill>
                <a:schemeClr val="dk1"/>
              </a:solidFill>
            </a:rPr>
            <a:t>is less than or equal to the </a:t>
          </a:r>
          <a:r>
            <a:rPr lang="en-US" sz="1600" b="1">
              <a:solidFill>
                <a:schemeClr val="dk1"/>
              </a:solidFill>
            </a:rPr>
            <a:t>Reorder Quantity</a:t>
          </a:r>
          <a:endParaRPr lang="en-US" sz="1600">
            <a:solidFill>
              <a:schemeClr val="dk1"/>
            </a:solidFill>
          </a:endParaRPr>
        </a:p>
        <a:p>
          <a:pPr marL="342900" lvl="0" indent="-342900">
            <a:spcAft>
              <a:spcPts val="1200"/>
            </a:spcAft>
            <a:buFont typeface="+mj-lt"/>
            <a:buAutoNum type="arabicPeriod"/>
            <a:defRPr/>
          </a:pPr>
          <a:r>
            <a:rPr lang="en-US" sz="1600">
              <a:solidFill>
                <a:schemeClr val="dk1"/>
              </a:solidFill>
            </a:rPr>
            <a:t>On the </a:t>
          </a:r>
          <a:r>
            <a:rPr lang="en-US" sz="1600" b="1">
              <a:solidFill>
                <a:schemeClr val="dk1"/>
              </a:solidFill>
            </a:rPr>
            <a:t>Order Tracker </a:t>
          </a:r>
          <a:r>
            <a:rPr lang="en-US" sz="1600">
              <a:solidFill>
                <a:schemeClr val="dk1"/>
              </a:solidFill>
            </a:rPr>
            <a:t>worksheet, add a formula in cell </a:t>
          </a:r>
          <a:r>
            <a:rPr lang="en-US" sz="1600" b="1">
              <a:solidFill>
                <a:schemeClr val="dk1"/>
              </a:solidFill>
            </a:rPr>
            <a:t>B5 </a:t>
          </a:r>
          <a:r>
            <a:rPr lang="en-US" sz="1600">
              <a:solidFill>
                <a:schemeClr val="dk1"/>
              </a:solidFill>
            </a:rPr>
            <a:t>to calculate the arrival date for the order</a:t>
          </a:r>
          <a:endParaRPr lang="en-US" sz="1600" b="1">
            <a:solidFill>
              <a:schemeClr val="dk1"/>
            </a:solidFill>
          </a:endParaRPr>
        </a:p>
        <a:p>
          <a:pPr marL="342900" lvl="0" indent="-342900">
            <a:spcAft>
              <a:spcPts val="1200"/>
            </a:spcAft>
            <a:buFont typeface="+mj-lt"/>
            <a:buAutoNum type="arabicPeriod"/>
            <a:defRPr/>
          </a:pPr>
          <a:r>
            <a:rPr lang="en-US" sz="1600">
              <a:solidFill>
                <a:schemeClr val="dk1"/>
              </a:solidFill>
            </a:rPr>
            <a:t>Protect the workbook so users cannot add, edit, or delete worksheets using password </a:t>
          </a:r>
          <a:r>
            <a:rPr lang="en-US" sz="1600" b="1">
              <a:solidFill>
                <a:schemeClr val="dk1"/>
              </a:solidFill>
            </a:rPr>
            <a:t>12345</a:t>
          </a:r>
        </a:p>
      </xdr:txBody>
    </xdr:sp>
    <xdr:clientData/>
  </xdr:twoCellAnchor>
  <xdr:twoCellAnchor>
    <xdr:from>
      <xdr:col>5</xdr:col>
      <xdr:colOff>224975</xdr:colOff>
      <xdr:row>1</xdr:row>
      <xdr:rowOff>0</xdr:rowOff>
    </xdr:from>
    <xdr:to>
      <xdr:col>5</xdr:col>
      <xdr:colOff>224975</xdr:colOff>
      <xdr:row>7</xdr:row>
      <xdr:rowOff>6848</xdr:rowOff>
    </xdr:to>
    <xdr:cxnSp macro="">
      <xdr:nvCxnSpPr>
        <xdr:cNvPr id="5" name="Google Shape;7890;p302">
          <a:extLst>
            <a:ext uri="{FF2B5EF4-FFF2-40B4-BE49-F238E27FC236}">
              <a16:creationId xmlns:a16="http://schemas.microsoft.com/office/drawing/2014/main" id="{00000000-0008-0000-0D00-000005000000}"/>
            </a:ext>
          </a:extLst>
        </xdr:cNvPr>
        <xdr:cNvCxnSpPr>
          <a:cxnSpLocks/>
        </xdr:cNvCxnSpPr>
      </xdr:nvCxnSpPr>
      <xdr:spPr>
        <a:xfrm>
          <a:off x="2853875" y="190500"/>
          <a:ext cx="0" cy="1149848"/>
        </a:xfrm>
        <a:prstGeom prst="straightConnector1">
          <a:avLst/>
        </a:prstGeom>
        <a:noFill/>
        <a:ln w="9525" cap="flat" cmpd="sng">
          <a:solidFill>
            <a:schemeClr val="lt2"/>
          </a:solidFill>
          <a:prstDash val="solid"/>
          <a:miter lim="800000"/>
          <a:headEnd type="none" w="sm" len="sm"/>
          <a:tailEnd type="none" w="sm" len="sm"/>
        </a:ln>
      </xdr:spPr>
    </xdr:cxnSp>
    <xdr:clientData/>
  </xdr:twoCellAnchor>
  <xdr:twoCellAnchor>
    <xdr:from>
      <xdr:col>1</xdr:col>
      <xdr:colOff>68601</xdr:colOff>
      <xdr:row>1</xdr:row>
      <xdr:rowOff>141580</xdr:rowOff>
    </xdr:from>
    <xdr:to>
      <xdr:col>5</xdr:col>
      <xdr:colOff>161785</xdr:colOff>
      <xdr:row>5</xdr:row>
      <xdr:rowOff>72326</xdr:rowOff>
    </xdr:to>
    <xdr:grpSp>
      <xdr:nvGrpSpPr>
        <xdr:cNvPr id="6" name="Group 5">
          <a:extLst>
            <a:ext uri="{FF2B5EF4-FFF2-40B4-BE49-F238E27FC236}">
              <a16:creationId xmlns:a16="http://schemas.microsoft.com/office/drawing/2014/main" id="{00000000-0008-0000-0D00-000006000000}"/>
            </a:ext>
          </a:extLst>
        </xdr:cNvPr>
        <xdr:cNvGrpSpPr/>
      </xdr:nvGrpSpPr>
      <xdr:grpSpPr>
        <a:xfrm>
          <a:off x="266721" y="324460"/>
          <a:ext cx="2531584" cy="662266"/>
          <a:chOff x="2656994" y="1676486"/>
          <a:chExt cx="2531584" cy="692746"/>
        </a:xfrm>
      </xdr:grpSpPr>
      <xdr:grpSp>
        <xdr:nvGrpSpPr>
          <xdr:cNvPr id="9" name="Google Shape;7887;p302">
            <a:extLst>
              <a:ext uri="{FF2B5EF4-FFF2-40B4-BE49-F238E27FC236}">
                <a16:creationId xmlns:a16="http://schemas.microsoft.com/office/drawing/2014/main" id="{00000000-0008-0000-0D00-000009000000}"/>
              </a:ext>
            </a:extLst>
          </xdr:cNvPr>
          <xdr:cNvGrpSpPr/>
        </xdr:nvGrpSpPr>
        <xdr:grpSpPr>
          <a:xfrm>
            <a:off x="3318753" y="1676486"/>
            <a:ext cx="1869825" cy="692746"/>
            <a:chOff x="1613474" y="1288575"/>
            <a:chExt cx="2016340" cy="692746"/>
          </a:xfrm>
        </xdr:grpSpPr>
        <xdr:sp macro="" textlink="">
          <xdr:nvSpPr>
            <xdr:cNvPr id="13" name="Google Shape;7888;p302">
              <a:extLst>
                <a:ext uri="{FF2B5EF4-FFF2-40B4-BE49-F238E27FC236}">
                  <a16:creationId xmlns:a16="http://schemas.microsoft.com/office/drawing/2014/main" id="{00000000-0008-0000-0D00-00000D000000}"/>
                </a:ext>
              </a:extLst>
            </xdr:cNvPr>
            <xdr:cNvSpPr txBox="1"/>
          </xdr:nvSpPr>
          <xdr:spPr>
            <a:xfrm>
              <a:off x="1613477" y="1519656"/>
              <a:ext cx="2016337" cy="461665"/>
            </a:xfrm>
            <a:prstGeom prst="rect">
              <a:avLst/>
            </a:prstGeom>
            <a:noFill/>
            <a:ln>
              <a:noFill/>
            </a:ln>
          </xdr:spPr>
          <xdr:txBody>
            <a:bodyPr spcFirstLastPara="1" wrap="square" lIns="91425" tIns="45700" rIns="91425" bIns="45700" anchor="t" anchorCtr="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rtl="0">
                <a:lnSpc>
                  <a:spcPct val="100000"/>
                </a:lnSpc>
                <a:spcBef>
                  <a:spcPts val="0"/>
                </a:spcBef>
                <a:spcAft>
                  <a:spcPts val="0"/>
                </a:spcAft>
                <a:buClr>
                  <a:srgbClr val="000000"/>
                </a:buClr>
                <a:buSzPts val="2400"/>
                <a:buFont typeface="Arial"/>
                <a:buNone/>
              </a:pPr>
              <a:r>
                <a:rPr lang="en-US" sz="2800" b="1" i="0" u="none" strike="noStrike" cap="none">
                  <a:solidFill>
                    <a:srgbClr val="19673D"/>
                  </a:solidFill>
                  <a:ea typeface="Lato Black"/>
                  <a:cs typeface="Lato Black"/>
                  <a:sym typeface="Lato Black"/>
                </a:rPr>
                <a:t>SITUATION</a:t>
              </a:r>
              <a:endParaRPr sz="1600" b="0" i="0" u="none" strike="noStrike" cap="none">
                <a:solidFill>
                  <a:srgbClr val="19673D"/>
                </a:solidFill>
                <a:ea typeface="Arial"/>
                <a:cs typeface="Arial"/>
                <a:sym typeface="Arial"/>
              </a:endParaRPr>
            </a:p>
          </xdr:txBody>
        </xdr:sp>
        <xdr:sp macro="" textlink="">
          <xdr:nvSpPr>
            <xdr:cNvPr id="14" name="Google Shape;7889;p302">
              <a:extLst>
                <a:ext uri="{FF2B5EF4-FFF2-40B4-BE49-F238E27FC236}">
                  <a16:creationId xmlns:a16="http://schemas.microsoft.com/office/drawing/2014/main" id="{00000000-0008-0000-0D00-00000E000000}"/>
                </a:ext>
              </a:extLst>
            </xdr:cNvPr>
            <xdr:cNvSpPr txBox="1"/>
          </xdr:nvSpPr>
          <xdr:spPr>
            <a:xfrm>
              <a:off x="1613474" y="1288575"/>
              <a:ext cx="714497" cy="369332"/>
            </a:xfrm>
            <a:prstGeom prst="rect">
              <a:avLst/>
            </a:prstGeom>
            <a:noFill/>
            <a:ln>
              <a:noFill/>
            </a:ln>
          </xdr:spPr>
          <xdr:txBody>
            <a:bodyPr spcFirstLastPara="1" wrap="square" lIns="91425" tIns="45700" rIns="91425" bIns="45700" anchor="t" anchorCtr="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rtl="0">
                <a:lnSpc>
                  <a:spcPct val="100000"/>
                </a:lnSpc>
                <a:spcBef>
                  <a:spcPts val="0"/>
                </a:spcBef>
                <a:spcAft>
                  <a:spcPts val="0"/>
                </a:spcAft>
                <a:buClr>
                  <a:srgbClr val="000000"/>
                </a:buClr>
                <a:buSzPts val="1800"/>
                <a:buFont typeface="Arial"/>
                <a:buNone/>
              </a:pPr>
              <a:r>
                <a:rPr lang="en-US" sz="2000" b="0" i="0" u="none" strike="noStrike" cap="none">
                  <a:solidFill>
                    <a:srgbClr val="3F3F3F"/>
                  </a:solidFill>
                  <a:ea typeface="Lato Light"/>
                  <a:cs typeface="Lato Light"/>
                  <a:sym typeface="Lato Light"/>
                </a:rPr>
                <a:t>THE</a:t>
              </a:r>
              <a:endParaRPr sz="1600" b="0" i="0" u="none" strike="noStrike" cap="none">
                <a:solidFill>
                  <a:srgbClr val="000000"/>
                </a:solidFill>
                <a:ea typeface="Arial"/>
                <a:cs typeface="Arial"/>
                <a:sym typeface="Arial"/>
              </a:endParaRPr>
            </a:p>
          </xdr:txBody>
        </xdr:sp>
      </xdr:grpSp>
      <xdr:grpSp>
        <xdr:nvGrpSpPr>
          <xdr:cNvPr id="10" name="Group 9">
            <a:extLst>
              <a:ext uri="{FF2B5EF4-FFF2-40B4-BE49-F238E27FC236}">
                <a16:creationId xmlns:a16="http://schemas.microsoft.com/office/drawing/2014/main" id="{00000000-0008-0000-0D00-00000A000000}"/>
              </a:ext>
            </a:extLst>
          </xdr:cNvPr>
          <xdr:cNvGrpSpPr/>
        </xdr:nvGrpSpPr>
        <xdr:grpSpPr>
          <a:xfrm>
            <a:off x="2656994" y="1764113"/>
            <a:ext cx="662579" cy="563931"/>
            <a:chOff x="620960" y="4111492"/>
            <a:chExt cx="644465" cy="548514"/>
          </a:xfrm>
        </xdr:grpSpPr>
        <xdr:sp macro="" textlink="">
          <xdr:nvSpPr>
            <xdr:cNvPr id="11" name="Google Shape;235;p18">
              <a:extLst>
                <a:ext uri="{FF2B5EF4-FFF2-40B4-BE49-F238E27FC236}">
                  <a16:creationId xmlns:a16="http://schemas.microsoft.com/office/drawing/2014/main" id="{00000000-0008-0000-0D00-00000B000000}"/>
                </a:ext>
              </a:extLst>
            </xdr:cNvPr>
            <xdr:cNvSpPr/>
          </xdr:nvSpPr>
          <xdr:spPr>
            <a:xfrm>
              <a:off x="620960" y="4125420"/>
              <a:ext cx="534586" cy="534586"/>
            </a:xfrm>
            <a:prstGeom prst="ellipse">
              <a:avLst/>
            </a:prstGeom>
            <a:gradFill flip="none" rotWithShape="1">
              <a:gsLst>
                <a:gs pos="0">
                  <a:schemeClr val="bg1">
                    <a:lumMod val="85000"/>
                  </a:schemeClr>
                </a:gs>
                <a:gs pos="100000">
                  <a:schemeClr val="bg1">
                    <a:lumMod val="65000"/>
                  </a:schemeClr>
                </a:gs>
              </a:gsLst>
              <a:lin ang="0" scaled="1"/>
              <a:tileRect/>
            </a:gradFill>
            <a:ln>
              <a:noFill/>
            </a:ln>
            <a:effectLst>
              <a:innerShdw blurRad="63500" dist="50800" dir="18900000">
                <a:prstClr val="black">
                  <a:alpha val="40000"/>
                </a:prstClr>
              </a:inn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sz="1600">
                <a:solidFill>
                  <a:prstClr val="black">
                    <a:lumMod val="85000"/>
                    <a:lumOff val="15000"/>
                  </a:prstClr>
                </a:solidFill>
                <a:latin typeface="Calibri" panose="020F0502020204030204"/>
                <a:sym typeface="Lato Black"/>
              </a:endParaRPr>
            </a:p>
          </xdr:txBody>
        </xdr:sp>
        <xdr:pic>
          <xdr:nvPicPr>
            <xdr:cNvPr id="12" name="Google Shape;239;p18">
              <a:extLst>
                <a:ext uri="{FF2B5EF4-FFF2-40B4-BE49-F238E27FC236}">
                  <a16:creationId xmlns:a16="http://schemas.microsoft.com/office/drawing/2014/main" id="{00000000-0008-0000-0D00-00000C000000}"/>
                </a:ext>
              </a:extLst>
            </xdr:cNvPr>
            <xdr:cNvPicPr preferRelativeResize="0"/>
          </xdr:nvPicPr>
          <xdr:blipFill rotWithShape="1">
            <a:blip xmlns:r="http://schemas.openxmlformats.org/officeDocument/2006/relationships" r:embed="rId1">
              <a:alphaModFix/>
            </a:blip>
            <a:srcRect/>
            <a:stretch/>
          </xdr:blipFill>
          <xdr:spPr>
            <a:xfrm rot="-440344">
              <a:off x="705954" y="4111492"/>
              <a:ext cx="559471" cy="413193"/>
            </a:xfrm>
            <a:prstGeom prst="rect">
              <a:avLst/>
            </a:prstGeom>
            <a:noFill/>
            <a:ln>
              <a:noFill/>
            </a:ln>
          </xdr:spPr>
        </xdr:pic>
      </xdr:grpSp>
    </xdr:grpSp>
    <xdr:clientData/>
  </xdr:twoCellAnchor>
  <xdr:twoCellAnchor>
    <xdr:from>
      <xdr:col>1</xdr:col>
      <xdr:colOff>0</xdr:colOff>
      <xdr:row>7</xdr:row>
      <xdr:rowOff>166169</xdr:rowOff>
    </xdr:from>
    <xdr:to>
      <xdr:col>11</xdr:col>
      <xdr:colOff>107308</xdr:colOff>
      <xdr:row>10</xdr:row>
      <xdr:rowOff>56334</xdr:rowOff>
    </xdr:to>
    <xdr:sp macro="" textlink="">
      <xdr:nvSpPr>
        <xdr:cNvPr id="7" name="TextBox 35">
          <a:extLst>
            <a:ext uri="{FF2B5EF4-FFF2-40B4-BE49-F238E27FC236}">
              <a16:creationId xmlns:a16="http://schemas.microsoft.com/office/drawing/2014/main" id="{00000000-0008-0000-0D00-000007000000}"/>
            </a:ext>
          </a:extLst>
        </xdr:cNvPr>
        <xdr:cNvSpPr txBox="1"/>
      </xdr:nvSpPr>
      <xdr:spPr>
        <a:xfrm>
          <a:off x="190500" y="1499669"/>
          <a:ext cx="6203308" cy="461665"/>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lvl="0">
            <a:spcAft>
              <a:spcPts val="1800"/>
            </a:spcAft>
            <a:defRPr/>
          </a:pPr>
          <a:r>
            <a:rPr lang="en-US" sz="2400" b="1">
              <a:solidFill>
                <a:prstClr val="black">
                  <a:lumMod val="85000"/>
                  <a:lumOff val="15000"/>
                </a:prstClr>
              </a:solidFill>
            </a:rPr>
            <a:t>TASKS:</a:t>
          </a:r>
          <a:endParaRPr lang="en-US" sz="2400" b="1">
            <a:solidFill>
              <a:schemeClr val="dk1"/>
            </a:solidFill>
          </a:endParaRPr>
        </a:p>
      </xdr:txBody>
    </xdr:sp>
    <xdr:clientData/>
  </xdr:twoCellAnchor>
  <xdr:twoCellAnchor>
    <xdr:from>
      <xdr:col>0</xdr:col>
      <xdr:colOff>-24768</xdr:colOff>
      <xdr:row>7</xdr:row>
      <xdr:rowOff>6848</xdr:rowOff>
    </xdr:from>
    <xdr:to>
      <xdr:col>15</xdr:col>
      <xdr:colOff>367813</xdr:colOff>
      <xdr:row>7</xdr:row>
      <xdr:rowOff>6848</xdr:rowOff>
    </xdr:to>
    <xdr:cxnSp macro="">
      <xdr:nvCxnSpPr>
        <xdr:cNvPr id="8" name="Google Shape;7890;p302">
          <a:extLst>
            <a:ext uri="{FF2B5EF4-FFF2-40B4-BE49-F238E27FC236}">
              <a16:creationId xmlns:a16="http://schemas.microsoft.com/office/drawing/2014/main" id="{00000000-0008-0000-0D00-000008000000}"/>
            </a:ext>
          </a:extLst>
        </xdr:cNvPr>
        <xdr:cNvCxnSpPr>
          <a:cxnSpLocks/>
        </xdr:cNvCxnSpPr>
      </xdr:nvCxnSpPr>
      <xdr:spPr>
        <a:xfrm flipH="1">
          <a:off x="-24768" y="1340348"/>
          <a:ext cx="9117481" cy="0"/>
        </a:xfrm>
        <a:prstGeom prst="straightConnector1">
          <a:avLst/>
        </a:prstGeom>
        <a:noFill/>
        <a:ln w="9525" cap="flat" cmpd="sng">
          <a:solidFill>
            <a:schemeClr val="lt2"/>
          </a:solidFill>
          <a:prstDash val="solid"/>
          <a:miter lim="800000"/>
          <a:headEnd type="none" w="sm" len="sm"/>
          <a:tailEnd type="none" w="sm" len="sm"/>
        </a:ln>
      </xdr:spPr>
    </xdr:cxnSp>
    <xdr:clientData/>
  </xdr:twoCellAnchor>
</xdr:wsDr>
</file>

<file path=xl/drawings/drawing8.xml><?xml version="1.0" encoding="utf-8"?>
<xdr:wsDr xmlns:xdr="http://schemas.openxmlformats.org/drawingml/2006/spreadsheetDrawing" xmlns:a="http://schemas.openxmlformats.org/drawingml/2006/main">
  <xdr:twoCellAnchor>
    <xdr:from>
      <xdr:col>5</xdr:col>
      <xdr:colOff>374298</xdr:colOff>
      <xdr:row>1</xdr:row>
      <xdr:rowOff>0</xdr:rowOff>
    </xdr:from>
    <xdr:to>
      <xdr:col>15</xdr:col>
      <xdr:colOff>367812</xdr:colOff>
      <xdr:row>5</xdr:row>
      <xdr:rowOff>161330</xdr:rowOff>
    </xdr:to>
    <xdr:sp macro="" textlink="">
      <xdr:nvSpPr>
        <xdr:cNvPr id="3" name="TextBox 19">
          <a:extLst>
            <a:ext uri="{FF2B5EF4-FFF2-40B4-BE49-F238E27FC236}">
              <a16:creationId xmlns:a16="http://schemas.microsoft.com/office/drawing/2014/main" id="{00000000-0008-0000-1000-000003000000}"/>
            </a:ext>
          </a:extLst>
        </xdr:cNvPr>
        <xdr:cNvSpPr txBox="1"/>
      </xdr:nvSpPr>
      <xdr:spPr>
        <a:xfrm>
          <a:off x="3003198" y="190500"/>
          <a:ext cx="6089514" cy="923330"/>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spcAft>
              <a:spcPts val="1800"/>
            </a:spcAft>
            <a:defRPr/>
          </a:pPr>
          <a:r>
            <a:rPr lang="en-US">
              <a:solidFill>
                <a:schemeClr val="dk1"/>
              </a:solidFill>
            </a:rPr>
            <a:t>You’ve been hired as an analyst by a </a:t>
          </a:r>
          <a:r>
            <a:rPr lang="en-US" b="1">
              <a:solidFill>
                <a:schemeClr val="dk1"/>
              </a:solidFill>
            </a:rPr>
            <a:t>coffee roasting company</a:t>
          </a:r>
          <a:r>
            <a:rPr lang="en-US">
              <a:solidFill>
                <a:schemeClr val="dk1"/>
              </a:solidFill>
            </a:rPr>
            <a:t> and you are preparing a workbook to </a:t>
          </a:r>
          <a:r>
            <a:rPr lang="en-US" b="1">
              <a:solidFill>
                <a:schemeClr val="dk1"/>
              </a:solidFill>
            </a:rPr>
            <a:t>compare sales across stores and product categories</a:t>
          </a:r>
          <a:endParaRPr lang="en-US">
            <a:solidFill>
              <a:schemeClr val="dk1"/>
            </a:solidFill>
          </a:endParaRPr>
        </a:p>
      </xdr:txBody>
    </xdr:sp>
    <xdr:clientData/>
  </xdr:twoCellAnchor>
  <xdr:twoCellAnchor>
    <xdr:from>
      <xdr:col>1</xdr:col>
      <xdr:colOff>0</xdr:colOff>
      <xdr:row>10</xdr:row>
      <xdr:rowOff>107983</xdr:rowOff>
    </xdr:from>
    <xdr:to>
      <xdr:col>15</xdr:col>
      <xdr:colOff>191548</xdr:colOff>
      <xdr:row>25</xdr:row>
      <xdr:rowOff>20472</xdr:rowOff>
    </xdr:to>
    <xdr:sp macro="" textlink="">
      <xdr:nvSpPr>
        <xdr:cNvPr id="4" name="TextBox 21">
          <a:extLst>
            <a:ext uri="{FF2B5EF4-FFF2-40B4-BE49-F238E27FC236}">
              <a16:creationId xmlns:a16="http://schemas.microsoft.com/office/drawing/2014/main" id="{00000000-0008-0000-1000-000004000000}"/>
            </a:ext>
          </a:extLst>
        </xdr:cNvPr>
        <xdr:cNvSpPr txBox="1"/>
      </xdr:nvSpPr>
      <xdr:spPr>
        <a:xfrm>
          <a:off x="190500" y="2012983"/>
          <a:ext cx="8725948" cy="276998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342900" lvl="0" indent="-342900">
            <a:spcAft>
              <a:spcPts val="1200"/>
            </a:spcAft>
            <a:buFont typeface="+mj-lt"/>
            <a:buAutoNum type="arabicPeriod"/>
            <a:defRPr/>
          </a:pPr>
          <a:r>
            <a:rPr lang="en-US" sz="1600">
              <a:solidFill>
                <a:schemeClr val="dk1"/>
              </a:solidFill>
            </a:rPr>
            <a:t>On the </a:t>
          </a:r>
          <a:r>
            <a:rPr lang="en-US" sz="1600" b="1">
              <a:solidFill>
                <a:schemeClr val="dk1"/>
              </a:solidFill>
            </a:rPr>
            <a:t>Product Sales</a:t>
          </a:r>
          <a:r>
            <a:rPr lang="en-US" sz="1600">
              <a:solidFill>
                <a:schemeClr val="dk1"/>
              </a:solidFill>
            </a:rPr>
            <a:t> worksheet, insert a Subtotal that calculates the Sum on the </a:t>
          </a:r>
          <a:r>
            <a:rPr lang="en-US" sz="1600" b="1">
              <a:solidFill>
                <a:schemeClr val="dk1"/>
              </a:solidFill>
            </a:rPr>
            <a:t>Units Sold </a:t>
          </a:r>
          <a:r>
            <a:rPr lang="en-US" sz="1600">
              <a:solidFill>
                <a:schemeClr val="dk1"/>
              </a:solidFill>
            </a:rPr>
            <a:t>and </a:t>
          </a:r>
          <a:r>
            <a:rPr lang="en-US" sz="1600" b="1">
              <a:solidFill>
                <a:schemeClr val="dk1"/>
              </a:solidFill>
            </a:rPr>
            <a:t>Sales</a:t>
          </a:r>
          <a:r>
            <a:rPr lang="en-US" sz="1600">
              <a:solidFill>
                <a:schemeClr val="dk1"/>
              </a:solidFill>
            </a:rPr>
            <a:t> columns for each </a:t>
          </a:r>
          <a:r>
            <a:rPr lang="en-US" sz="1600" b="1">
              <a:solidFill>
                <a:schemeClr val="dk1"/>
              </a:solidFill>
            </a:rPr>
            <a:t>Product Group</a:t>
          </a:r>
        </a:p>
        <a:p>
          <a:pPr marL="342900" lvl="0" indent="-342900">
            <a:spcAft>
              <a:spcPts val="1200"/>
            </a:spcAft>
            <a:buFont typeface="+mj-lt"/>
            <a:buAutoNum type="arabicPeriod"/>
            <a:defRPr/>
          </a:pPr>
          <a:r>
            <a:rPr lang="en-US" sz="1600">
              <a:solidFill>
                <a:schemeClr val="dk1"/>
              </a:solidFill>
            </a:rPr>
            <a:t>On the </a:t>
          </a:r>
          <a:r>
            <a:rPr lang="en-US" sz="1600" b="1">
              <a:solidFill>
                <a:schemeClr val="dk1"/>
              </a:solidFill>
            </a:rPr>
            <a:t>Sales by Store </a:t>
          </a:r>
          <a:r>
            <a:rPr lang="en-US" sz="1600">
              <a:solidFill>
                <a:schemeClr val="dk1"/>
              </a:solidFill>
            </a:rPr>
            <a:t>worksheet, consolidate the quarterly sales figures for all 3 stores in the </a:t>
          </a:r>
          <a:r>
            <a:rPr lang="en-US" sz="1600" b="1">
              <a:solidFill>
                <a:schemeClr val="dk1"/>
              </a:solidFill>
            </a:rPr>
            <a:t>NYC Totals </a:t>
          </a:r>
          <a:r>
            <a:rPr lang="en-US" sz="1600">
              <a:solidFill>
                <a:schemeClr val="dk1"/>
              </a:solidFill>
            </a:rPr>
            <a:t>table using a Sum</a:t>
          </a:r>
        </a:p>
        <a:p>
          <a:pPr marL="342900" lvl="0" indent="-342900">
            <a:spcAft>
              <a:spcPts val="1200"/>
            </a:spcAft>
            <a:buFont typeface="+mj-lt"/>
            <a:buAutoNum type="arabicPeriod"/>
            <a:defRPr/>
          </a:pPr>
          <a:r>
            <a:rPr lang="en-US" sz="1600">
              <a:solidFill>
                <a:schemeClr val="dk1"/>
              </a:solidFill>
            </a:rPr>
            <a:t>On the </a:t>
          </a:r>
          <a:r>
            <a:rPr lang="en-US" sz="1600" b="1">
              <a:solidFill>
                <a:schemeClr val="dk1"/>
              </a:solidFill>
            </a:rPr>
            <a:t>New Product </a:t>
          </a:r>
          <a:r>
            <a:rPr lang="en-US" sz="1600">
              <a:solidFill>
                <a:schemeClr val="dk1"/>
              </a:solidFill>
            </a:rPr>
            <a:t>worksheet, add a custom number format for cell </a:t>
          </a:r>
          <a:r>
            <a:rPr lang="en-US" sz="1600" b="1">
              <a:solidFill>
                <a:schemeClr val="dk1"/>
              </a:solidFill>
            </a:rPr>
            <a:t>B8</a:t>
          </a:r>
          <a:r>
            <a:rPr lang="en-US" sz="1600">
              <a:solidFill>
                <a:schemeClr val="dk1"/>
              </a:solidFill>
            </a:rPr>
            <a:t> so that positive values have a dollar sign ($), a thousand separator and no decimal points; for negative values use the same format but wrap the number in parenthesis and give it a red font</a:t>
          </a:r>
          <a:endParaRPr lang="en-US" sz="1600" b="1">
            <a:solidFill>
              <a:schemeClr val="dk1"/>
            </a:solidFill>
          </a:endParaRPr>
        </a:p>
        <a:p>
          <a:pPr marL="342900" lvl="0" indent="-342900">
            <a:spcAft>
              <a:spcPts val="1200"/>
            </a:spcAft>
            <a:buFont typeface="+mj-lt"/>
            <a:buAutoNum type="arabicPeriod"/>
            <a:defRPr/>
          </a:pPr>
          <a:r>
            <a:rPr lang="en-US" sz="1600">
              <a:solidFill>
                <a:schemeClr val="dk1"/>
              </a:solidFill>
            </a:rPr>
            <a:t>Use an Excel forecasting tool in cell </a:t>
          </a:r>
          <a:r>
            <a:rPr lang="en-US" sz="1600" b="1">
              <a:solidFill>
                <a:schemeClr val="dk1"/>
              </a:solidFill>
            </a:rPr>
            <a:t>B6</a:t>
          </a:r>
          <a:r>
            <a:rPr lang="en-US" sz="1600">
              <a:solidFill>
                <a:schemeClr val="dk1"/>
              </a:solidFill>
            </a:rPr>
            <a:t> on the </a:t>
          </a:r>
          <a:r>
            <a:rPr lang="en-US" sz="1600" b="1">
              <a:solidFill>
                <a:schemeClr val="dk1"/>
              </a:solidFill>
            </a:rPr>
            <a:t>New Product</a:t>
          </a:r>
          <a:r>
            <a:rPr lang="en-US" sz="1600">
              <a:solidFill>
                <a:schemeClr val="dk1"/>
              </a:solidFill>
            </a:rPr>
            <a:t> worksheet to calculate the </a:t>
          </a:r>
          <a:r>
            <a:rPr lang="en-US" sz="1600" b="1">
              <a:solidFill>
                <a:schemeClr val="dk1"/>
              </a:solidFill>
            </a:rPr>
            <a:t>Units Sold </a:t>
          </a:r>
          <a:r>
            <a:rPr lang="en-US" sz="1600">
              <a:solidFill>
                <a:schemeClr val="dk1"/>
              </a:solidFill>
            </a:rPr>
            <a:t>that will result in a </a:t>
          </a:r>
          <a:r>
            <a:rPr lang="en-US" sz="1600" b="1">
              <a:solidFill>
                <a:schemeClr val="dk1"/>
              </a:solidFill>
            </a:rPr>
            <a:t>Profit</a:t>
          </a:r>
          <a:r>
            <a:rPr lang="en-US" sz="1600">
              <a:solidFill>
                <a:schemeClr val="dk1"/>
              </a:solidFill>
            </a:rPr>
            <a:t> of </a:t>
          </a:r>
          <a:r>
            <a:rPr lang="en-US" sz="1600" b="1">
              <a:solidFill>
                <a:schemeClr val="dk1"/>
              </a:solidFill>
            </a:rPr>
            <a:t>$3,000</a:t>
          </a:r>
        </a:p>
      </xdr:txBody>
    </xdr:sp>
    <xdr:clientData/>
  </xdr:twoCellAnchor>
  <xdr:twoCellAnchor>
    <xdr:from>
      <xdr:col>5</xdr:col>
      <xdr:colOff>224975</xdr:colOff>
      <xdr:row>1</xdr:row>
      <xdr:rowOff>0</xdr:rowOff>
    </xdr:from>
    <xdr:to>
      <xdr:col>5</xdr:col>
      <xdr:colOff>224975</xdr:colOff>
      <xdr:row>7</xdr:row>
      <xdr:rowOff>6848</xdr:rowOff>
    </xdr:to>
    <xdr:cxnSp macro="">
      <xdr:nvCxnSpPr>
        <xdr:cNvPr id="5" name="Google Shape;7890;p302">
          <a:extLst>
            <a:ext uri="{FF2B5EF4-FFF2-40B4-BE49-F238E27FC236}">
              <a16:creationId xmlns:a16="http://schemas.microsoft.com/office/drawing/2014/main" id="{00000000-0008-0000-1000-000005000000}"/>
            </a:ext>
          </a:extLst>
        </xdr:cNvPr>
        <xdr:cNvCxnSpPr>
          <a:cxnSpLocks/>
        </xdr:cNvCxnSpPr>
      </xdr:nvCxnSpPr>
      <xdr:spPr>
        <a:xfrm>
          <a:off x="2853875" y="190500"/>
          <a:ext cx="0" cy="1149848"/>
        </a:xfrm>
        <a:prstGeom prst="straightConnector1">
          <a:avLst/>
        </a:prstGeom>
        <a:noFill/>
        <a:ln w="9525" cap="flat" cmpd="sng">
          <a:solidFill>
            <a:schemeClr val="lt2"/>
          </a:solidFill>
          <a:prstDash val="solid"/>
          <a:miter lim="800000"/>
          <a:headEnd type="none" w="sm" len="sm"/>
          <a:tailEnd type="none" w="sm" len="sm"/>
        </a:ln>
      </xdr:spPr>
    </xdr:cxnSp>
    <xdr:clientData/>
  </xdr:twoCellAnchor>
  <xdr:twoCellAnchor>
    <xdr:from>
      <xdr:col>1</xdr:col>
      <xdr:colOff>68601</xdr:colOff>
      <xdr:row>1</xdr:row>
      <xdr:rowOff>141580</xdr:rowOff>
    </xdr:from>
    <xdr:to>
      <xdr:col>5</xdr:col>
      <xdr:colOff>161785</xdr:colOff>
      <xdr:row>5</xdr:row>
      <xdr:rowOff>72326</xdr:rowOff>
    </xdr:to>
    <xdr:grpSp>
      <xdr:nvGrpSpPr>
        <xdr:cNvPr id="6" name="Group 5">
          <a:extLst>
            <a:ext uri="{FF2B5EF4-FFF2-40B4-BE49-F238E27FC236}">
              <a16:creationId xmlns:a16="http://schemas.microsoft.com/office/drawing/2014/main" id="{00000000-0008-0000-1000-000006000000}"/>
            </a:ext>
          </a:extLst>
        </xdr:cNvPr>
        <xdr:cNvGrpSpPr/>
      </xdr:nvGrpSpPr>
      <xdr:grpSpPr>
        <a:xfrm>
          <a:off x="266721" y="324460"/>
          <a:ext cx="2531584" cy="662266"/>
          <a:chOff x="2656994" y="1676486"/>
          <a:chExt cx="2531584" cy="692746"/>
        </a:xfrm>
      </xdr:grpSpPr>
      <xdr:grpSp>
        <xdr:nvGrpSpPr>
          <xdr:cNvPr id="9" name="Google Shape;7887;p302">
            <a:extLst>
              <a:ext uri="{FF2B5EF4-FFF2-40B4-BE49-F238E27FC236}">
                <a16:creationId xmlns:a16="http://schemas.microsoft.com/office/drawing/2014/main" id="{00000000-0008-0000-1000-000009000000}"/>
              </a:ext>
            </a:extLst>
          </xdr:cNvPr>
          <xdr:cNvGrpSpPr/>
        </xdr:nvGrpSpPr>
        <xdr:grpSpPr>
          <a:xfrm>
            <a:off x="3318753" y="1676486"/>
            <a:ext cx="1869825" cy="692746"/>
            <a:chOff x="1613474" y="1288575"/>
            <a:chExt cx="2016340" cy="692746"/>
          </a:xfrm>
        </xdr:grpSpPr>
        <xdr:sp macro="" textlink="">
          <xdr:nvSpPr>
            <xdr:cNvPr id="13" name="Google Shape;7888;p302">
              <a:extLst>
                <a:ext uri="{FF2B5EF4-FFF2-40B4-BE49-F238E27FC236}">
                  <a16:creationId xmlns:a16="http://schemas.microsoft.com/office/drawing/2014/main" id="{00000000-0008-0000-1000-00000D000000}"/>
                </a:ext>
              </a:extLst>
            </xdr:cNvPr>
            <xdr:cNvSpPr txBox="1"/>
          </xdr:nvSpPr>
          <xdr:spPr>
            <a:xfrm>
              <a:off x="1613477" y="1519656"/>
              <a:ext cx="2016337" cy="461665"/>
            </a:xfrm>
            <a:prstGeom prst="rect">
              <a:avLst/>
            </a:prstGeom>
            <a:noFill/>
            <a:ln>
              <a:noFill/>
            </a:ln>
          </xdr:spPr>
          <xdr:txBody>
            <a:bodyPr spcFirstLastPara="1" wrap="square" lIns="91425" tIns="45700" rIns="91425" bIns="45700" anchor="t" anchorCtr="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rtl="0">
                <a:lnSpc>
                  <a:spcPct val="100000"/>
                </a:lnSpc>
                <a:spcBef>
                  <a:spcPts val="0"/>
                </a:spcBef>
                <a:spcAft>
                  <a:spcPts val="0"/>
                </a:spcAft>
                <a:buClr>
                  <a:srgbClr val="000000"/>
                </a:buClr>
                <a:buSzPts val="2400"/>
                <a:buFont typeface="Arial"/>
                <a:buNone/>
              </a:pPr>
              <a:r>
                <a:rPr lang="en-US" sz="2800" b="1" i="0" u="none" strike="noStrike" cap="none">
                  <a:solidFill>
                    <a:srgbClr val="19673D"/>
                  </a:solidFill>
                  <a:ea typeface="Lato Black"/>
                  <a:cs typeface="Lato Black"/>
                  <a:sym typeface="Lato Black"/>
                </a:rPr>
                <a:t>SITUATION</a:t>
              </a:r>
              <a:endParaRPr sz="1600" b="0" i="0" u="none" strike="noStrike" cap="none">
                <a:solidFill>
                  <a:srgbClr val="19673D"/>
                </a:solidFill>
                <a:ea typeface="Arial"/>
                <a:cs typeface="Arial"/>
                <a:sym typeface="Arial"/>
              </a:endParaRPr>
            </a:p>
          </xdr:txBody>
        </xdr:sp>
        <xdr:sp macro="" textlink="">
          <xdr:nvSpPr>
            <xdr:cNvPr id="14" name="Google Shape;7889;p302">
              <a:extLst>
                <a:ext uri="{FF2B5EF4-FFF2-40B4-BE49-F238E27FC236}">
                  <a16:creationId xmlns:a16="http://schemas.microsoft.com/office/drawing/2014/main" id="{00000000-0008-0000-1000-00000E000000}"/>
                </a:ext>
              </a:extLst>
            </xdr:cNvPr>
            <xdr:cNvSpPr txBox="1"/>
          </xdr:nvSpPr>
          <xdr:spPr>
            <a:xfrm>
              <a:off x="1613474" y="1288575"/>
              <a:ext cx="714497" cy="369332"/>
            </a:xfrm>
            <a:prstGeom prst="rect">
              <a:avLst/>
            </a:prstGeom>
            <a:noFill/>
            <a:ln>
              <a:noFill/>
            </a:ln>
          </xdr:spPr>
          <xdr:txBody>
            <a:bodyPr spcFirstLastPara="1" wrap="square" lIns="91425" tIns="45700" rIns="91425" bIns="45700" anchor="t" anchorCtr="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rtl="0">
                <a:lnSpc>
                  <a:spcPct val="100000"/>
                </a:lnSpc>
                <a:spcBef>
                  <a:spcPts val="0"/>
                </a:spcBef>
                <a:spcAft>
                  <a:spcPts val="0"/>
                </a:spcAft>
                <a:buClr>
                  <a:srgbClr val="000000"/>
                </a:buClr>
                <a:buSzPts val="1800"/>
                <a:buFont typeface="Arial"/>
                <a:buNone/>
              </a:pPr>
              <a:r>
                <a:rPr lang="en-US" sz="2000" b="0" i="0" u="none" strike="noStrike" cap="none">
                  <a:solidFill>
                    <a:srgbClr val="3F3F3F"/>
                  </a:solidFill>
                  <a:ea typeface="Lato Light"/>
                  <a:cs typeface="Lato Light"/>
                  <a:sym typeface="Lato Light"/>
                </a:rPr>
                <a:t>THE</a:t>
              </a:r>
              <a:endParaRPr sz="1600" b="0" i="0" u="none" strike="noStrike" cap="none">
                <a:solidFill>
                  <a:srgbClr val="000000"/>
                </a:solidFill>
                <a:ea typeface="Arial"/>
                <a:cs typeface="Arial"/>
                <a:sym typeface="Arial"/>
              </a:endParaRPr>
            </a:p>
          </xdr:txBody>
        </xdr:sp>
      </xdr:grpSp>
      <xdr:grpSp>
        <xdr:nvGrpSpPr>
          <xdr:cNvPr id="10" name="Group 9">
            <a:extLst>
              <a:ext uri="{FF2B5EF4-FFF2-40B4-BE49-F238E27FC236}">
                <a16:creationId xmlns:a16="http://schemas.microsoft.com/office/drawing/2014/main" id="{00000000-0008-0000-1000-00000A000000}"/>
              </a:ext>
            </a:extLst>
          </xdr:cNvPr>
          <xdr:cNvGrpSpPr/>
        </xdr:nvGrpSpPr>
        <xdr:grpSpPr>
          <a:xfrm>
            <a:off x="2656994" y="1764113"/>
            <a:ext cx="662579" cy="563931"/>
            <a:chOff x="620960" y="4111492"/>
            <a:chExt cx="644465" cy="548514"/>
          </a:xfrm>
        </xdr:grpSpPr>
        <xdr:sp macro="" textlink="">
          <xdr:nvSpPr>
            <xdr:cNvPr id="11" name="Google Shape;235;p18">
              <a:extLst>
                <a:ext uri="{FF2B5EF4-FFF2-40B4-BE49-F238E27FC236}">
                  <a16:creationId xmlns:a16="http://schemas.microsoft.com/office/drawing/2014/main" id="{00000000-0008-0000-1000-00000B000000}"/>
                </a:ext>
              </a:extLst>
            </xdr:cNvPr>
            <xdr:cNvSpPr/>
          </xdr:nvSpPr>
          <xdr:spPr>
            <a:xfrm>
              <a:off x="620960" y="4125420"/>
              <a:ext cx="534586" cy="534586"/>
            </a:xfrm>
            <a:prstGeom prst="ellipse">
              <a:avLst/>
            </a:prstGeom>
            <a:gradFill flip="none" rotWithShape="1">
              <a:gsLst>
                <a:gs pos="0">
                  <a:schemeClr val="bg1">
                    <a:lumMod val="85000"/>
                  </a:schemeClr>
                </a:gs>
                <a:gs pos="100000">
                  <a:schemeClr val="bg1">
                    <a:lumMod val="65000"/>
                  </a:schemeClr>
                </a:gs>
              </a:gsLst>
              <a:lin ang="0" scaled="1"/>
              <a:tileRect/>
            </a:gradFill>
            <a:ln>
              <a:noFill/>
            </a:ln>
            <a:effectLst>
              <a:innerShdw blurRad="63500" dist="50800" dir="18900000">
                <a:prstClr val="black">
                  <a:alpha val="40000"/>
                </a:prstClr>
              </a:inn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sz="1600">
                <a:solidFill>
                  <a:prstClr val="black">
                    <a:lumMod val="85000"/>
                    <a:lumOff val="15000"/>
                  </a:prstClr>
                </a:solidFill>
                <a:latin typeface="Calibri" panose="020F0502020204030204"/>
                <a:sym typeface="Lato Black"/>
              </a:endParaRPr>
            </a:p>
          </xdr:txBody>
        </xdr:sp>
        <xdr:pic>
          <xdr:nvPicPr>
            <xdr:cNvPr id="12" name="Google Shape;239;p18">
              <a:extLst>
                <a:ext uri="{FF2B5EF4-FFF2-40B4-BE49-F238E27FC236}">
                  <a16:creationId xmlns:a16="http://schemas.microsoft.com/office/drawing/2014/main" id="{00000000-0008-0000-1000-00000C000000}"/>
                </a:ext>
              </a:extLst>
            </xdr:cNvPr>
            <xdr:cNvPicPr preferRelativeResize="0"/>
          </xdr:nvPicPr>
          <xdr:blipFill rotWithShape="1">
            <a:blip xmlns:r="http://schemas.openxmlformats.org/officeDocument/2006/relationships" r:embed="rId1">
              <a:alphaModFix/>
            </a:blip>
            <a:srcRect/>
            <a:stretch/>
          </xdr:blipFill>
          <xdr:spPr>
            <a:xfrm rot="-440344">
              <a:off x="705954" y="4111492"/>
              <a:ext cx="559471" cy="413193"/>
            </a:xfrm>
            <a:prstGeom prst="rect">
              <a:avLst/>
            </a:prstGeom>
            <a:noFill/>
            <a:ln>
              <a:noFill/>
            </a:ln>
          </xdr:spPr>
        </xdr:pic>
      </xdr:grpSp>
    </xdr:grpSp>
    <xdr:clientData/>
  </xdr:twoCellAnchor>
  <xdr:twoCellAnchor>
    <xdr:from>
      <xdr:col>1</xdr:col>
      <xdr:colOff>0</xdr:colOff>
      <xdr:row>7</xdr:row>
      <xdr:rowOff>166169</xdr:rowOff>
    </xdr:from>
    <xdr:to>
      <xdr:col>11</xdr:col>
      <xdr:colOff>107308</xdr:colOff>
      <xdr:row>10</xdr:row>
      <xdr:rowOff>56334</xdr:rowOff>
    </xdr:to>
    <xdr:sp macro="" textlink="">
      <xdr:nvSpPr>
        <xdr:cNvPr id="7" name="TextBox 35">
          <a:extLst>
            <a:ext uri="{FF2B5EF4-FFF2-40B4-BE49-F238E27FC236}">
              <a16:creationId xmlns:a16="http://schemas.microsoft.com/office/drawing/2014/main" id="{00000000-0008-0000-1000-000007000000}"/>
            </a:ext>
          </a:extLst>
        </xdr:cNvPr>
        <xdr:cNvSpPr txBox="1"/>
      </xdr:nvSpPr>
      <xdr:spPr>
        <a:xfrm>
          <a:off x="190500" y="1499669"/>
          <a:ext cx="6203308" cy="461665"/>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lvl="0">
            <a:spcAft>
              <a:spcPts val="1800"/>
            </a:spcAft>
            <a:defRPr/>
          </a:pPr>
          <a:r>
            <a:rPr lang="en-US" sz="2400" b="1">
              <a:solidFill>
                <a:prstClr val="black">
                  <a:lumMod val="85000"/>
                  <a:lumOff val="15000"/>
                </a:prstClr>
              </a:solidFill>
            </a:rPr>
            <a:t>TASKS:</a:t>
          </a:r>
          <a:endParaRPr lang="en-US" sz="2400" b="1">
            <a:solidFill>
              <a:schemeClr val="dk1"/>
            </a:solidFill>
          </a:endParaRPr>
        </a:p>
      </xdr:txBody>
    </xdr:sp>
    <xdr:clientData/>
  </xdr:twoCellAnchor>
  <xdr:twoCellAnchor>
    <xdr:from>
      <xdr:col>0</xdr:col>
      <xdr:colOff>-24768</xdr:colOff>
      <xdr:row>7</xdr:row>
      <xdr:rowOff>6848</xdr:rowOff>
    </xdr:from>
    <xdr:to>
      <xdr:col>15</xdr:col>
      <xdr:colOff>367813</xdr:colOff>
      <xdr:row>7</xdr:row>
      <xdr:rowOff>6848</xdr:rowOff>
    </xdr:to>
    <xdr:cxnSp macro="">
      <xdr:nvCxnSpPr>
        <xdr:cNvPr id="8" name="Google Shape;7890;p302">
          <a:extLst>
            <a:ext uri="{FF2B5EF4-FFF2-40B4-BE49-F238E27FC236}">
              <a16:creationId xmlns:a16="http://schemas.microsoft.com/office/drawing/2014/main" id="{00000000-0008-0000-1000-000008000000}"/>
            </a:ext>
          </a:extLst>
        </xdr:cNvPr>
        <xdr:cNvCxnSpPr>
          <a:cxnSpLocks/>
        </xdr:cNvCxnSpPr>
      </xdr:nvCxnSpPr>
      <xdr:spPr>
        <a:xfrm flipH="1">
          <a:off x="-24768" y="1340348"/>
          <a:ext cx="9117481" cy="0"/>
        </a:xfrm>
        <a:prstGeom prst="straightConnector1">
          <a:avLst/>
        </a:prstGeom>
        <a:noFill/>
        <a:ln w="9525" cap="flat" cmpd="sng">
          <a:solidFill>
            <a:schemeClr val="lt2"/>
          </a:solidFill>
          <a:prstDash val="solid"/>
          <a:miter lim="800000"/>
          <a:headEnd type="none" w="sm" len="sm"/>
          <a:tailEnd type="none" w="sm" len="sm"/>
        </a:ln>
      </xdr:spPr>
    </xdr:cxnSp>
    <xdr:clientData/>
  </xdr:twoCellAnchor>
</xdr:wsDr>
</file>

<file path=xl/drawings/drawing9.xml><?xml version="1.0" encoding="utf-8"?>
<xdr:wsDr xmlns:xdr="http://schemas.openxmlformats.org/drawingml/2006/spreadsheetDrawing" xmlns:a="http://schemas.openxmlformats.org/drawingml/2006/main">
  <xdr:twoCellAnchor>
    <xdr:from>
      <xdr:col>5</xdr:col>
      <xdr:colOff>374298</xdr:colOff>
      <xdr:row>1</xdr:row>
      <xdr:rowOff>0</xdr:rowOff>
    </xdr:from>
    <xdr:to>
      <xdr:col>15</xdr:col>
      <xdr:colOff>367812</xdr:colOff>
      <xdr:row>5</xdr:row>
      <xdr:rowOff>161330</xdr:rowOff>
    </xdr:to>
    <xdr:sp macro="" textlink="">
      <xdr:nvSpPr>
        <xdr:cNvPr id="3" name="TextBox 19">
          <a:extLst>
            <a:ext uri="{FF2B5EF4-FFF2-40B4-BE49-F238E27FC236}">
              <a16:creationId xmlns:a16="http://schemas.microsoft.com/office/drawing/2014/main" id="{00000000-0008-0000-1400-000003000000}"/>
            </a:ext>
          </a:extLst>
        </xdr:cNvPr>
        <xdr:cNvSpPr txBox="1"/>
      </xdr:nvSpPr>
      <xdr:spPr>
        <a:xfrm>
          <a:off x="3003198" y="190500"/>
          <a:ext cx="6089514" cy="923330"/>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spcAft>
              <a:spcPts val="1800"/>
            </a:spcAft>
            <a:defRPr/>
          </a:pPr>
          <a:r>
            <a:rPr lang="en-US">
              <a:solidFill>
                <a:schemeClr val="dk1"/>
              </a:solidFill>
            </a:rPr>
            <a:t>You’ve been contracted to </a:t>
          </a:r>
          <a:r>
            <a:rPr lang="en-US" b="1">
              <a:solidFill>
                <a:schemeClr val="dk1"/>
              </a:solidFill>
            </a:rPr>
            <a:t>track traffic accidents in New York City, </a:t>
          </a:r>
          <a:r>
            <a:rPr lang="en-US">
              <a:solidFill>
                <a:schemeClr val="dk1"/>
              </a:solidFill>
            </a:rPr>
            <a:t>and you are preparing a workbook to </a:t>
          </a:r>
          <a:r>
            <a:rPr lang="en-US" b="1">
              <a:solidFill>
                <a:schemeClr val="dk1"/>
              </a:solidFill>
            </a:rPr>
            <a:t>analyze monthly trends and contributing factors</a:t>
          </a:r>
          <a:endParaRPr lang="en-US">
            <a:solidFill>
              <a:schemeClr val="dk1"/>
            </a:solidFill>
          </a:endParaRPr>
        </a:p>
      </xdr:txBody>
    </xdr:sp>
    <xdr:clientData/>
  </xdr:twoCellAnchor>
  <xdr:twoCellAnchor>
    <xdr:from>
      <xdr:col>1</xdr:col>
      <xdr:colOff>0</xdr:colOff>
      <xdr:row>10</xdr:row>
      <xdr:rowOff>107983</xdr:rowOff>
    </xdr:from>
    <xdr:to>
      <xdr:col>15</xdr:col>
      <xdr:colOff>49760</xdr:colOff>
      <xdr:row>21</xdr:row>
      <xdr:rowOff>136141</xdr:rowOff>
    </xdr:to>
    <xdr:sp macro="" textlink="">
      <xdr:nvSpPr>
        <xdr:cNvPr id="4" name="TextBox 21">
          <a:extLst>
            <a:ext uri="{FF2B5EF4-FFF2-40B4-BE49-F238E27FC236}">
              <a16:creationId xmlns:a16="http://schemas.microsoft.com/office/drawing/2014/main" id="{00000000-0008-0000-1400-000004000000}"/>
            </a:ext>
          </a:extLst>
        </xdr:cNvPr>
        <xdr:cNvSpPr txBox="1"/>
      </xdr:nvSpPr>
      <xdr:spPr>
        <a:xfrm>
          <a:off x="190500" y="2012983"/>
          <a:ext cx="8584160" cy="2123658"/>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342900" lvl="0" indent="-342900">
            <a:spcAft>
              <a:spcPts val="1200"/>
            </a:spcAft>
            <a:buFont typeface="+mj-lt"/>
            <a:buAutoNum type="arabicPeriod"/>
            <a:defRPr/>
          </a:pPr>
          <a:r>
            <a:rPr lang="en-US" sz="1600">
              <a:solidFill>
                <a:schemeClr val="dk1"/>
              </a:solidFill>
            </a:rPr>
            <a:t>On the </a:t>
          </a:r>
          <a:r>
            <a:rPr lang="en-US" sz="1600" b="1">
              <a:solidFill>
                <a:schemeClr val="dk1"/>
              </a:solidFill>
            </a:rPr>
            <a:t>Van Collisions</a:t>
          </a:r>
          <a:r>
            <a:rPr lang="en-US" sz="1600">
              <a:solidFill>
                <a:schemeClr val="dk1"/>
              </a:solidFill>
            </a:rPr>
            <a:t> worksheet, record a macro named “TableHeader” with Ctrl+Shift+T as the Shortcut key that selects range </a:t>
          </a:r>
          <a:r>
            <a:rPr lang="en-US" sz="1600" b="1">
              <a:solidFill>
                <a:schemeClr val="dk1"/>
              </a:solidFill>
            </a:rPr>
            <a:t>A1:F1</a:t>
          </a:r>
          <a:r>
            <a:rPr lang="en-US" sz="1600">
              <a:solidFill>
                <a:schemeClr val="dk1"/>
              </a:solidFill>
            </a:rPr>
            <a:t>, makes the </a:t>
          </a:r>
          <a:r>
            <a:rPr lang="en-US" sz="1600" b="1">
              <a:solidFill>
                <a:schemeClr val="dk1"/>
              </a:solidFill>
            </a:rPr>
            <a:t>font bold</a:t>
          </a:r>
          <a:r>
            <a:rPr lang="en-US" sz="1600">
              <a:solidFill>
                <a:schemeClr val="dk1"/>
              </a:solidFill>
            </a:rPr>
            <a:t> and </a:t>
          </a:r>
          <a:r>
            <a:rPr lang="en-US" sz="1600" b="1">
              <a:solidFill>
                <a:schemeClr val="dk1"/>
              </a:solidFill>
            </a:rPr>
            <a:t>size 14pt</a:t>
          </a:r>
          <a:r>
            <a:rPr lang="en-US" sz="1600">
              <a:solidFill>
                <a:schemeClr val="dk1"/>
              </a:solidFill>
            </a:rPr>
            <a:t>, and </a:t>
          </a:r>
          <a:r>
            <a:rPr lang="en-US" sz="1600" b="1">
              <a:solidFill>
                <a:schemeClr val="dk1"/>
              </a:solidFill>
            </a:rPr>
            <a:t>merges &amp; centers </a:t>
          </a:r>
          <a:r>
            <a:rPr lang="en-US" sz="1600">
              <a:solidFill>
                <a:schemeClr val="dk1"/>
              </a:solidFill>
            </a:rPr>
            <a:t>the selection; run the macro using the Shortcut on the </a:t>
          </a:r>
          <a:r>
            <a:rPr lang="en-US" sz="1600" b="1">
              <a:solidFill>
                <a:schemeClr val="dk1"/>
              </a:solidFill>
            </a:rPr>
            <a:t>Taxi Collisions</a:t>
          </a:r>
          <a:r>
            <a:rPr lang="en-US" sz="1600">
              <a:solidFill>
                <a:schemeClr val="dk1"/>
              </a:solidFill>
            </a:rPr>
            <a:t> worksheet</a:t>
          </a:r>
          <a:endParaRPr lang="en-US" sz="1600" b="1">
            <a:solidFill>
              <a:schemeClr val="dk1"/>
            </a:solidFill>
          </a:endParaRPr>
        </a:p>
        <a:p>
          <a:pPr marL="342900" lvl="0" indent="-342900">
            <a:spcAft>
              <a:spcPts val="1200"/>
            </a:spcAft>
            <a:buFont typeface="+mj-lt"/>
            <a:buAutoNum type="arabicPeriod"/>
            <a:defRPr/>
          </a:pPr>
          <a:r>
            <a:rPr lang="en-US" sz="1600">
              <a:solidFill>
                <a:schemeClr val="dk1"/>
              </a:solidFill>
            </a:rPr>
            <a:t>On the </a:t>
          </a:r>
          <a:r>
            <a:rPr lang="en-US" sz="1600" b="1">
              <a:solidFill>
                <a:schemeClr val="dk1"/>
              </a:solidFill>
            </a:rPr>
            <a:t>Monthly Trend </a:t>
          </a:r>
          <a:r>
            <a:rPr lang="en-US" sz="1600">
              <a:solidFill>
                <a:schemeClr val="dk1"/>
              </a:solidFill>
            </a:rPr>
            <a:t>worksheet, add a chart that shows the </a:t>
          </a:r>
          <a:r>
            <a:rPr lang="en-US" sz="1600" b="1">
              <a:solidFill>
                <a:schemeClr val="dk1"/>
              </a:solidFill>
            </a:rPr>
            <a:t>Collisions,</a:t>
          </a:r>
          <a:r>
            <a:rPr lang="en-US" sz="1600">
              <a:solidFill>
                <a:schemeClr val="dk1"/>
              </a:solidFill>
            </a:rPr>
            <a:t> as a clustered column chart, and the </a:t>
          </a:r>
          <a:r>
            <a:rPr lang="en-US" sz="1600" b="1">
              <a:solidFill>
                <a:schemeClr val="dk1"/>
              </a:solidFill>
            </a:rPr>
            <a:t>Injury %</a:t>
          </a:r>
          <a:r>
            <a:rPr lang="en-US" sz="1600">
              <a:solidFill>
                <a:schemeClr val="dk1"/>
              </a:solidFill>
            </a:rPr>
            <a:t>,</a:t>
          </a:r>
          <a:r>
            <a:rPr lang="en-US" sz="1600" b="1">
              <a:solidFill>
                <a:schemeClr val="dk1"/>
              </a:solidFill>
            </a:rPr>
            <a:t> </a:t>
          </a:r>
          <a:r>
            <a:rPr lang="en-US" sz="1600">
              <a:solidFill>
                <a:schemeClr val="dk1"/>
              </a:solidFill>
            </a:rPr>
            <a:t>as a line chart on a secondary axis, by </a:t>
          </a:r>
          <a:r>
            <a:rPr lang="en-US" sz="1600" b="1">
              <a:solidFill>
                <a:schemeClr val="dk1"/>
              </a:solidFill>
            </a:rPr>
            <a:t>Month</a:t>
          </a:r>
        </a:p>
        <a:p>
          <a:pPr marL="342900" lvl="0" indent="-342900">
            <a:spcAft>
              <a:spcPts val="1200"/>
            </a:spcAft>
            <a:buFont typeface="+mj-lt"/>
            <a:buAutoNum type="arabicPeriod"/>
            <a:defRPr/>
          </a:pPr>
          <a:r>
            <a:rPr lang="en-US" sz="1600">
              <a:solidFill>
                <a:schemeClr val="dk1"/>
              </a:solidFill>
            </a:rPr>
            <a:t>On the </a:t>
          </a:r>
          <a:r>
            <a:rPr lang="en-US" sz="1600" b="1">
              <a:solidFill>
                <a:schemeClr val="dk1"/>
              </a:solidFill>
            </a:rPr>
            <a:t>Collision Causes </a:t>
          </a:r>
          <a:r>
            <a:rPr lang="en-US" sz="1600">
              <a:solidFill>
                <a:schemeClr val="dk1"/>
              </a:solidFill>
            </a:rPr>
            <a:t>worksheet, show values as </a:t>
          </a:r>
          <a:r>
            <a:rPr lang="en-US" sz="1600" b="1">
              <a:solidFill>
                <a:schemeClr val="dk1"/>
              </a:solidFill>
            </a:rPr>
            <a:t>% of Column Total </a:t>
          </a:r>
          <a:r>
            <a:rPr lang="en-US" sz="1600">
              <a:solidFill>
                <a:schemeClr val="dk1"/>
              </a:solidFill>
            </a:rPr>
            <a:t>for the </a:t>
          </a:r>
          <a:r>
            <a:rPr lang="en-US" sz="1600" b="1">
              <a:solidFill>
                <a:schemeClr val="dk1"/>
              </a:solidFill>
            </a:rPr>
            <a:t>Sum of # of Persons Injured</a:t>
          </a:r>
        </a:p>
      </xdr:txBody>
    </xdr:sp>
    <xdr:clientData/>
  </xdr:twoCellAnchor>
  <xdr:twoCellAnchor>
    <xdr:from>
      <xdr:col>5</xdr:col>
      <xdr:colOff>224975</xdr:colOff>
      <xdr:row>1</xdr:row>
      <xdr:rowOff>0</xdr:rowOff>
    </xdr:from>
    <xdr:to>
      <xdr:col>5</xdr:col>
      <xdr:colOff>224975</xdr:colOff>
      <xdr:row>7</xdr:row>
      <xdr:rowOff>6848</xdr:rowOff>
    </xdr:to>
    <xdr:cxnSp macro="">
      <xdr:nvCxnSpPr>
        <xdr:cNvPr id="5" name="Google Shape;7890;p302">
          <a:extLst>
            <a:ext uri="{FF2B5EF4-FFF2-40B4-BE49-F238E27FC236}">
              <a16:creationId xmlns:a16="http://schemas.microsoft.com/office/drawing/2014/main" id="{00000000-0008-0000-1400-000005000000}"/>
            </a:ext>
          </a:extLst>
        </xdr:cNvPr>
        <xdr:cNvCxnSpPr>
          <a:cxnSpLocks/>
        </xdr:cNvCxnSpPr>
      </xdr:nvCxnSpPr>
      <xdr:spPr>
        <a:xfrm>
          <a:off x="2853875" y="190500"/>
          <a:ext cx="0" cy="1149848"/>
        </a:xfrm>
        <a:prstGeom prst="straightConnector1">
          <a:avLst/>
        </a:prstGeom>
        <a:noFill/>
        <a:ln w="9525" cap="flat" cmpd="sng">
          <a:solidFill>
            <a:schemeClr val="lt2"/>
          </a:solidFill>
          <a:prstDash val="solid"/>
          <a:miter lim="800000"/>
          <a:headEnd type="none" w="sm" len="sm"/>
          <a:tailEnd type="none" w="sm" len="sm"/>
        </a:ln>
      </xdr:spPr>
    </xdr:cxnSp>
    <xdr:clientData/>
  </xdr:twoCellAnchor>
  <xdr:twoCellAnchor>
    <xdr:from>
      <xdr:col>1</xdr:col>
      <xdr:colOff>68601</xdr:colOff>
      <xdr:row>1</xdr:row>
      <xdr:rowOff>141580</xdr:rowOff>
    </xdr:from>
    <xdr:to>
      <xdr:col>5</xdr:col>
      <xdr:colOff>161785</xdr:colOff>
      <xdr:row>5</xdr:row>
      <xdr:rowOff>72326</xdr:rowOff>
    </xdr:to>
    <xdr:grpSp>
      <xdr:nvGrpSpPr>
        <xdr:cNvPr id="6" name="Group 5">
          <a:extLst>
            <a:ext uri="{FF2B5EF4-FFF2-40B4-BE49-F238E27FC236}">
              <a16:creationId xmlns:a16="http://schemas.microsoft.com/office/drawing/2014/main" id="{00000000-0008-0000-1400-000006000000}"/>
            </a:ext>
          </a:extLst>
        </xdr:cNvPr>
        <xdr:cNvGrpSpPr/>
      </xdr:nvGrpSpPr>
      <xdr:grpSpPr>
        <a:xfrm>
          <a:off x="266721" y="324460"/>
          <a:ext cx="2531584" cy="662266"/>
          <a:chOff x="2656994" y="1676486"/>
          <a:chExt cx="2531584" cy="692746"/>
        </a:xfrm>
      </xdr:grpSpPr>
      <xdr:grpSp>
        <xdr:nvGrpSpPr>
          <xdr:cNvPr id="9" name="Google Shape;7887;p302">
            <a:extLst>
              <a:ext uri="{FF2B5EF4-FFF2-40B4-BE49-F238E27FC236}">
                <a16:creationId xmlns:a16="http://schemas.microsoft.com/office/drawing/2014/main" id="{00000000-0008-0000-1400-000009000000}"/>
              </a:ext>
            </a:extLst>
          </xdr:cNvPr>
          <xdr:cNvGrpSpPr/>
        </xdr:nvGrpSpPr>
        <xdr:grpSpPr>
          <a:xfrm>
            <a:off x="3318753" y="1676486"/>
            <a:ext cx="1869825" cy="692746"/>
            <a:chOff x="1613474" y="1288575"/>
            <a:chExt cx="2016340" cy="692746"/>
          </a:xfrm>
        </xdr:grpSpPr>
        <xdr:sp macro="" textlink="">
          <xdr:nvSpPr>
            <xdr:cNvPr id="13" name="Google Shape;7888;p302">
              <a:extLst>
                <a:ext uri="{FF2B5EF4-FFF2-40B4-BE49-F238E27FC236}">
                  <a16:creationId xmlns:a16="http://schemas.microsoft.com/office/drawing/2014/main" id="{00000000-0008-0000-1400-00000D000000}"/>
                </a:ext>
              </a:extLst>
            </xdr:cNvPr>
            <xdr:cNvSpPr txBox="1"/>
          </xdr:nvSpPr>
          <xdr:spPr>
            <a:xfrm>
              <a:off x="1613477" y="1519656"/>
              <a:ext cx="2016337" cy="461665"/>
            </a:xfrm>
            <a:prstGeom prst="rect">
              <a:avLst/>
            </a:prstGeom>
            <a:noFill/>
            <a:ln>
              <a:noFill/>
            </a:ln>
          </xdr:spPr>
          <xdr:txBody>
            <a:bodyPr spcFirstLastPara="1" wrap="square" lIns="91425" tIns="45700" rIns="91425" bIns="45700" anchor="t" anchorCtr="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rtl="0">
                <a:lnSpc>
                  <a:spcPct val="100000"/>
                </a:lnSpc>
                <a:spcBef>
                  <a:spcPts val="0"/>
                </a:spcBef>
                <a:spcAft>
                  <a:spcPts val="0"/>
                </a:spcAft>
                <a:buClr>
                  <a:srgbClr val="000000"/>
                </a:buClr>
                <a:buSzPts val="2400"/>
                <a:buFont typeface="Arial"/>
                <a:buNone/>
              </a:pPr>
              <a:r>
                <a:rPr lang="en-US" sz="2800" b="1" i="0" u="none" strike="noStrike" cap="none">
                  <a:solidFill>
                    <a:srgbClr val="19673D"/>
                  </a:solidFill>
                  <a:ea typeface="Lato Black"/>
                  <a:cs typeface="Lato Black"/>
                  <a:sym typeface="Lato Black"/>
                </a:rPr>
                <a:t>SITUATION</a:t>
              </a:r>
              <a:endParaRPr sz="1600" b="0" i="0" u="none" strike="noStrike" cap="none">
                <a:solidFill>
                  <a:srgbClr val="19673D"/>
                </a:solidFill>
                <a:ea typeface="Arial"/>
                <a:cs typeface="Arial"/>
                <a:sym typeface="Arial"/>
              </a:endParaRPr>
            </a:p>
          </xdr:txBody>
        </xdr:sp>
        <xdr:sp macro="" textlink="">
          <xdr:nvSpPr>
            <xdr:cNvPr id="14" name="Google Shape;7889;p302">
              <a:extLst>
                <a:ext uri="{FF2B5EF4-FFF2-40B4-BE49-F238E27FC236}">
                  <a16:creationId xmlns:a16="http://schemas.microsoft.com/office/drawing/2014/main" id="{00000000-0008-0000-1400-00000E000000}"/>
                </a:ext>
              </a:extLst>
            </xdr:cNvPr>
            <xdr:cNvSpPr txBox="1"/>
          </xdr:nvSpPr>
          <xdr:spPr>
            <a:xfrm>
              <a:off x="1613474" y="1288575"/>
              <a:ext cx="714497" cy="369332"/>
            </a:xfrm>
            <a:prstGeom prst="rect">
              <a:avLst/>
            </a:prstGeom>
            <a:noFill/>
            <a:ln>
              <a:noFill/>
            </a:ln>
          </xdr:spPr>
          <xdr:txBody>
            <a:bodyPr spcFirstLastPara="1" wrap="square" lIns="91425" tIns="45700" rIns="91425" bIns="45700" anchor="t" anchorCtr="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rtl="0">
                <a:lnSpc>
                  <a:spcPct val="100000"/>
                </a:lnSpc>
                <a:spcBef>
                  <a:spcPts val="0"/>
                </a:spcBef>
                <a:spcAft>
                  <a:spcPts val="0"/>
                </a:spcAft>
                <a:buClr>
                  <a:srgbClr val="000000"/>
                </a:buClr>
                <a:buSzPts val="1800"/>
                <a:buFont typeface="Arial"/>
                <a:buNone/>
              </a:pPr>
              <a:r>
                <a:rPr lang="en-US" sz="2000" b="0" i="0" u="none" strike="noStrike" cap="none">
                  <a:solidFill>
                    <a:srgbClr val="3F3F3F"/>
                  </a:solidFill>
                  <a:ea typeface="Lato Light"/>
                  <a:cs typeface="Lato Light"/>
                  <a:sym typeface="Lato Light"/>
                </a:rPr>
                <a:t>THE</a:t>
              </a:r>
              <a:endParaRPr sz="1600" b="0" i="0" u="none" strike="noStrike" cap="none">
                <a:solidFill>
                  <a:srgbClr val="000000"/>
                </a:solidFill>
                <a:ea typeface="Arial"/>
                <a:cs typeface="Arial"/>
                <a:sym typeface="Arial"/>
              </a:endParaRPr>
            </a:p>
          </xdr:txBody>
        </xdr:sp>
      </xdr:grpSp>
      <xdr:grpSp>
        <xdr:nvGrpSpPr>
          <xdr:cNvPr id="10" name="Group 9">
            <a:extLst>
              <a:ext uri="{FF2B5EF4-FFF2-40B4-BE49-F238E27FC236}">
                <a16:creationId xmlns:a16="http://schemas.microsoft.com/office/drawing/2014/main" id="{00000000-0008-0000-1400-00000A000000}"/>
              </a:ext>
            </a:extLst>
          </xdr:cNvPr>
          <xdr:cNvGrpSpPr/>
        </xdr:nvGrpSpPr>
        <xdr:grpSpPr>
          <a:xfrm>
            <a:off x="2656994" y="1764113"/>
            <a:ext cx="662579" cy="563931"/>
            <a:chOff x="620960" y="4111492"/>
            <a:chExt cx="644465" cy="548514"/>
          </a:xfrm>
        </xdr:grpSpPr>
        <xdr:sp macro="" textlink="">
          <xdr:nvSpPr>
            <xdr:cNvPr id="11" name="Google Shape;235;p18">
              <a:extLst>
                <a:ext uri="{FF2B5EF4-FFF2-40B4-BE49-F238E27FC236}">
                  <a16:creationId xmlns:a16="http://schemas.microsoft.com/office/drawing/2014/main" id="{00000000-0008-0000-1400-00000B000000}"/>
                </a:ext>
              </a:extLst>
            </xdr:cNvPr>
            <xdr:cNvSpPr/>
          </xdr:nvSpPr>
          <xdr:spPr>
            <a:xfrm>
              <a:off x="620960" y="4125420"/>
              <a:ext cx="534586" cy="534586"/>
            </a:xfrm>
            <a:prstGeom prst="ellipse">
              <a:avLst/>
            </a:prstGeom>
            <a:gradFill flip="none" rotWithShape="1">
              <a:gsLst>
                <a:gs pos="0">
                  <a:schemeClr val="bg1">
                    <a:lumMod val="85000"/>
                  </a:schemeClr>
                </a:gs>
                <a:gs pos="100000">
                  <a:schemeClr val="bg1">
                    <a:lumMod val="65000"/>
                  </a:schemeClr>
                </a:gs>
              </a:gsLst>
              <a:lin ang="0" scaled="1"/>
              <a:tileRect/>
            </a:gradFill>
            <a:ln>
              <a:noFill/>
            </a:ln>
            <a:effectLst>
              <a:innerShdw blurRad="63500" dist="50800" dir="18900000">
                <a:prstClr val="black">
                  <a:alpha val="40000"/>
                </a:prstClr>
              </a:inn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sz="1600">
                <a:solidFill>
                  <a:prstClr val="black">
                    <a:lumMod val="85000"/>
                    <a:lumOff val="15000"/>
                  </a:prstClr>
                </a:solidFill>
                <a:latin typeface="Calibri" panose="020F0502020204030204"/>
                <a:sym typeface="Lato Black"/>
              </a:endParaRPr>
            </a:p>
          </xdr:txBody>
        </xdr:sp>
        <xdr:pic>
          <xdr:nvPicPr>
            <xdr:cNvPr id="12" name="Google Shape;239;p18">
              <a:extLst>
                <a:ext uri="{FF2B5EF4-FFF2-40B4-BE49-F238E27FC236}">
                  <a16:creationId xmlns:a16="http://schemas.microsoft.com/office/drawing/2014/main" id="{00000000-0008-0000-1400-00000C000000}"/>
                </a:ext>
              </a:extLst>
            </xdr:cNvPr>
            <xdr:cNvPicPr preferRelativeResize="0"/>
          </xdr:nvPicPr>
          <xdr:blipFill rotWithShape="1">
            <a:blip xmlns:r="http://schemas.openxmlformats.org/officeDocument/2006/relationships" r:embed="rId1">
              <a:alphaModFix/>
            </a:blip>
            <a:srcRect/>
            <a:stretch/>
          </xdr:blipFill>
          <xdr:spPr>
            <a:xfrm rot="-440344">
              <a:off x="705954" y="4111492"/>
              <a:ext cx="559471" cy="413193"/>
            </a:xfrm>
            <a:prstGeom prst="rect">
              <a:avLst/>
            </a:prstGeom>
            <a:noFill/>
            <a:ln>
              <a:noFill/>
            </a:ln>
          </xdr:spPr>
        </xdr:pic>
      </xdr:grpSp>
    </xdr:grpSp>
    <xdr:clientData/>
  </xdr:twoCellAnchor>
  <xdr:twoCellAnchor>
    <xdr:from>
      <xdr:col>1</xdr:col>
      <xdr:colOff>0</xdr:colOff>
      <xdr:row>7</xdr:row>
      <xdr:rowOff>166169</xdr:rowOff>
    </xdr:from>
    <xdr:to>
      <xdr:col>11</xdr:col>
      <xdr:colOff>107308</xdr:colOff>
      <xdr:row>10</xdr:row>
      <xdr:rowOff>56334</xdr:rowOff>
    </xdr:to>
    <xdr:sp macro="" textlink="">
      <xdr:nvSpPr>
        <xdr:cNvPr id="7" name="TextBox 35">
          <a:extLst>
            <a:ext uri="{FF2B5EF4-FFF2-40B4-BE49-F238E27FC236}">
              <a16:creationId xmlns:a16="http://schemas.microsoft.com/office/drawing/2014/main" id="{00000000-0008-0000-1400-000007000000}"/>
            </a:ext>
          </a:extLst>
        </xdr:cNvPr>
        <xdr:cNvSpPr txBox="1"/>
      </xdr:nvSpPr>
      <xdr:spPr>
        <a:xfrm>
          <a:off x="190500" y="1499669"/>
          <a:ext cx="6203308" cy="461665"/>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lvl="0">
            <a:spcAft>
              <a:spcPts val="1800"/>
            </a:spcAft>
            <a:defRPr/>
          </a:pPr>
          <a:r>
            <a:rPr lang="en-US" sz="2400" b="1">
              <a:solidFill>
                <a:prstClr val="black">
                  <a:lumMod val="85000"/>
                  <a:lumOff val="15000"/>
                </a:prstClr>
              </a:solidFill>
            </a:rPr>
            <a:t>TASKS:</a:t>
          </a:r>
          <a:endParaRPr lang="en-US" sz="2400" b="1">
            <a:solidFill>
              <a:schemeClr val="dk1"/>
            </a:solidFill>
          </a:endParaRPr>
        </a:p>
      </xdr:txBody>
    </xdr:sp>
    <xdr:clientData/>
  </xdr:twoCellAnchor>
  <xdr:twoCellAnchor>
    <xdr:from>
      <xdr:col>0</xdr:col>
      <xdr:colOff>-24768</xdr:colOff>
      <xdr:row>7</xdr:row>
      <xdr:rowOff>6848</xdr:rowOff>
    </xdr:from>
    <xdr:to>
      <xdr:col>15</xdr:col>
      <xdr:colOff>367813</xdr:colOff>
      <xdr:row>7</xdr:row>
      <xdr:rowOff>6848</xdr:rowOff>
    </xdr:to>
    <xdr:cxnSp macro="">
      <xdr:nvCxnSpPr>
        <xdr:cNvPr id="8" name="Google Shape;7890;p302">
          <a:extLst>
            <a:ext uri="{FF2B5EF4-FFF2-40B4-BE49-F238E27FC236}">
              <a16:creationId xmlns:a16="http://schemas.microsoft.com/office/drawing/2014/main" id="{00000000-0008-0000-1400-000008000000}"/>
            </a:ext>
          </a:extLst>
        </xdr:cNvPr>
        <xdr:cNvCxnSpPr>
          <a:cxnSpLocks/>
        </xdr:cNvCxnSpPr>
      </xdr:nvCxnSpPr>
      <xdr:spPr>
        <a:xfrm flipH="1">
          <a:off x="-24768" y="1340348"/>
          <a:ext cx="9117481" cy="0"/>
        </a:xfrm>
        <a:prstGeom prst="straightConnector1">
          <a:avLst/>
        </a:prstGeom>
        <a:noFill/>
        <a:ln w="9525" cap="flat" cmpd="sng">
          <a:solidFill>
            <a:schemeClr val="lt2"/>
          </a:solidFill>
          <a:prstDash val="solid"/>
          <a:miter lim="800000"/>
          <a:headEnd type="none" w="sm" len="sm"/>
          <a:tailEnd type="none" w="sm" len="sm"/>
        </a:ln>
      </xdr:spPr>
    </xdr:cxnSp>
    <xdr:clientData/>
  </xdr:twoCellAnchor>
</xdr:wsDr>
</file>

<file path=xl/drawings/drawing10.xml><?xml version="1.0" encoding="utf-8"?>
<xdr:wsDr xmlns:xdr="http://schemas.openxmlformats.org/drawingml/2006/spreadsheetDrawing" xmlns:a="http://schemas.openxmlformats.org/drawingml/2006/main">
  <xdr:twoCellAnchor>
    <xdr:from>
      <xdr:col>5</xdr:col>
      <xdr:colOff>228600</xdr:colOff>
      <xdr:row>6</xdr:row>
      <xdr:rowOff>83820</xdr:rowOff>
    </xdr:from>
    <xdr:to>
      <xdr:col>14</xdr:col>
      <xdr:colOff>487680</xdr:colOff>
      <xdr:row>24</xdr:row>
      <xdr:rowOff>38100</xdr:rowOff>
    </xdr:to>
    <xdr:graphicFrame macro="">
      <xdr:nvGraphicFramePr>
        <xdr:cNvPr id="2" name="Chart 1">
          <a:extLst>
            <a:ext uri="{FF2B5EF4-FFF2-40B4-BE49-F238E27FC236}">
              <a16:creationId xmlns:a16="http://schemas.microsoft.com/office/drawing/2014/main" id="{2E3973D0-0064-5478-2C57-2E23539BD7B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nrique Ruiz" refreshedDate="44111.413478009257" createdVersion="6" refreshedVersion="6" minRefreshableVersion="3" recordCount="200" xr:uid="{00000000-000A-0000-FFFF-FFFF06000000}">
  <cacheSource type="worksheet">
    <worksheetSource ref="A1:I201" sheet="Orders"/>
  </cacheSource>
  <cacheFields count="10">
    <cacheField name="Invoice" numFmtId="0">
      <sharedItems containsSemiMixedTypes="0" containsString="0" containsNumber="1" containsInteger="1" minValue="540546" maxValue="581476"/>
    </cacheField>
    <cacheField name="Order Date" numFmtId="166">
      <sharedItems containsSemiMixedTypes="0" containsNonDate="0" containsDate="1" containsString="0" minDate="2019-01-09T00:00:00" maxDate="2019-12-10T00:00:00" count="132">
        <d v="2019-01-09T00:00:00"/>
        <d v="2019-01-13T00:00:00"/>
        <d v="2019-01-14T00:00:00"/>
        <d v="2019-01-17T00:00:00"/>
        <d v="2019-01-18T00:00:00"/>
        <d v="2019-01-20T00:00:00"/>
        <d v="2019-01-21T00:00:00"/>
        <d v="2019-01-25T00:00:00"/>
        <d v="2019-01-27T00:00:00"/>
        <d v="2019-01-28T00:00:00"/>
        <d v="2019-01-30T00:00:00"/>
        <d v="2019-01-31T00:00:00"/>
        <d v="2019-02-01T00:00:00"/>
        <d v="2019-02-11T00:00:00"/>
        <d v="2019-02-14T00:00:00"/>
        <d v="2019-02-18T00:00:00"/>
        <d v="2019-02-21T00:00:00"/>
        <d v="2019-02-22T00:00:00"/>
        <d v="2019-02-23T00:00:00"/>
        <d v="2019-03-04T00:00:00"/>
        <d v="2019-03-08T00:00:00"/>
        <d v="2019-03-17T00:00:00"/>
        <d v="2019-03-18T00:00:00"/>
        <d v="2019-03-21T00:00:00"/>
        <d v="2019-03-23T00:00:00"/>
        <d v="2019-03-24T00:00:00"/>
        <d v="2019-03-28T00:00:00"/>
        <d v="2019-04-03T00:00:00"/>
        <d v="2019-04-04T00:00:00"/>
        <d v="2019-04-14T00:00:00"/>
        <d v="2019-04-20T00:00:00"/>
        <d v="2019-04-21T00:00:00"/>
        <d v="2019-05-09T00:00:00"/>
        <d v="2019-05-12T00:00:00"/>
        <d v="2019-05-13T00:00:00"/>
        <d v="2019-05-16T00:00:00"/>
        <d v="2019-05-17T00:00:00"/>
        <d v="2019-05-19T00:00:00"/>
        <d v="2019-05-24T00:00:00"/>
        <d v="2019-05-31T00:00:00"/>
        <d v="2019-06-01T00:00:00"/>
        <d v="2019-06-02T00:00:00"/>
        <d v="2019-06-05T00:00:00"/>
        <d v="2019-06-06T00:00:00"/>
        <d v="2019-06-09T00:00:00"/>
        <d v="2019-06-16T00:00:00"/>
        <d v="2019-06-20T00:00:00"/>
        <d v="2019-06-21T00:00:00"/>
        <d v="2019-06-22T00:00:00"/>
        <d v="2019-06-23T00:00:00"/>
        <d v="2019-06-28T00:00:00"/>
        <d v="2019-06-30T00:00:00"/>
        <d v="2019-07-05T00:00:00"/>
        <d v="2019-07-08T00:00:00"/>
        <d v="2019-07-10T00:00:00"/>
        <d v="2019-07-11T00:00:00"/>
        <d v="2019-07-13T00:00:00"/>
        <d v="2019-07-15T00:00:00"/>
        <d v="2019-07-19T00:00:00"/>
        <d v="2019-07-20T00:00:00"/>
        <d v="2019-07-21T00:00:00"/>
        <d v="2019-07-24T00:00:00"/>
        <d v="2019-07-25T00:00:00"/>
        <d v="2019-07-31T00:00:00"/>
        <d v="2019-08-08T00:00:00"/>
        <d v="2019-08-09T00:00:00"/>
        <d v="2019-08-19T00:00:00"/>
        <d v="2019-08-22T00:00:00"/>
        <d v="2019-08-23T00:00:00"/>
        <d v="2019-08-24T00:00:00"/>
        <d v="2019-08-25T00:00:00"/>
        <d v="2019-08-28T00:00:00"/>
        <d v="2019-08-31T00:00:00"/>
        <d v="2019-09-02T00:00:00"/>
        <d v="2019-09-04T00:00:00"/>
        <d v="2019-09-05T00:00:00"/>
        <d v="2019-09-06T00:00:00"/>
        <d v="2019-09-07T00:00:00"/>
        <d v="2019-09-08T00:00:00"/>
        <d v="2019-09-09T00:00:00"/>
        <d v="2019-09-13T00:00:00"/>
        <d v="2019-09-14T00:00:00"/>
        <d v="2019-09-18T00:00:00"/>
        <d v="2019-09-19T00:00:00"/>
        <d v="2019-09-21T00:00:00"/>
        <d v="2019-09-22T00:00:00"/>
        <d v="2019-09-23T00:00:00"/>
        <d v="2019-09-25T00:00:00"/>
        <d v="2019-09-28T00:00:00"/>
        <d v="2019-09-29T00:00:00"/>
        <d v="2019-10-03T00:00:00"/>
        <d v="2019-10-04T00:00:00"/>
        <d v="2019-10-05T00:00:00"/>
        <d v="2019-10-06T00:00:00"/>
        <d v="2019-10-10T00:00:00"/>
        <d v="2019-10-11T00:00:00"/>
        <d v="2019-10-12T00:00:00"/>
        <d v="2019-10-13T00:00:00"/>
        <d v="2019-10-14T00:00:00"/>
        <d v="2019-10-16T00:00:00"/>
        <d v="2019-10-17T00:00:00"/>
        <d v="2019-10-18T00:00:00"/>
        <d v="2019-10-19T00:00:00"/>
        <d v="2019-10-20T00:00:00"/>
        <d v="2019-10-24T00:00:00"/>
        <d v="2019-10-26T00:00:00"/>
        <d v="2019-10-30T00:00:00"/>
        <d v="2019-10-31T00:00:00"/>
        <d v="2019-11-01T00:00:00"/>
        <d v="2019-11-03T00:00:00"/>
        <d v="2019-11-04T00:00:00"/>
        <d v="2019-11-06T00:00:00"/>
        <d v="2019-11-08T00:00:00"/>
        <d v="2019-11-09T00:00:00"/>
        <d v="2019-11-10T00:00:00"/>
        <d v="2019-11-11T00:00:00"/>
        <d v="2019-11-14T00:00:00"/>
        <d v="2019-11-16T00:00:00"/>
        <d v="2019-11-17T00:00:00"/>
        <d v="2019-11-18T00:00:00"/>
        <d v="2019-11-20T00:00:00"/>
        <d v="2019-11-22T00:00:00"/>
        <d v="2019-11-23T00:00:00"/>
        <d v="2019-11-25T00:00:00"/>
        <d v="2019-11-27T00:00:00"/>
        <d v="2019-11-28T00:00:00"/>
        <d v="2019-11-29T00:00:00"/>
        <d v="2019-11-30T00:00:00"/>
        <d v="2019-12-02T00:00:00"/>
        <d v="2019-12-06T00:00:00"/>
        <d v="2019-12-08T00:00:00"/>
        <d v="2019-12-09T00:00:00"/>
      </sharedItems>
      <fieldGroup par="9" base="1">
        <rangePr groupBy="days" startDate="2019-01-09T00:00:00" endDate="2019-12-10T00:00:00"/>
        <groupItems count="368">
          <s v="&lt;1/9/2019"/>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12/10/2019"/>
        </groupItems>
      </fieldGroup>
    </cacheField>
    <cacheField name="Country" numFmtId="0">
      <sharedItems/>
    </cacheField>
    <cacheField name="Client ID" numFmtId="0">
      <sharedItems containsSemiMixedTypes="0" containsString="0" containsNumber="1" containsInteger="1" minValue="12357" maxValue="18252"/>
    </cacheField>
    <cacheField name="Product ID" numFmtId="0">
      <sharedItems containsSemiMixedTypes="0" containsString="0" containsNumber="1" containsInteger="1" minValue="20713" maxValue="62018"/>
    </cacheField>
    <cacheField name="Product Name" numFmtId="0">
      <sharedItems containsNonDate="0" containsString="0" containsBlank="1"/>
    </cacheField>
    <cacheField name="Quantity" numFmtId="0">
      <sharedItems containsSemiMixedTypes="0" containsString="0" containsNumber="1" containsInteger="1" minValue="1" maxValue="400"/>
    </cacheField>
    <cacheField name="Unit Price" numFmtId="167">
      <sharedItems containsSemiMixedTypes="0" containsString="0" containsNumber="1" minValue="0.72" maxValue="4.95"/>
    </cacheField>
    <cacheField name="Revenue" numFmtId="167">
      <sharedItems containsSemiMixedTypes="0" containsString="0" containsNumber="1" minValue="1.65" maxValue="500"/>
    </cacheField>
    <cacheField name="Months" numFmtId="0" databaseField="0">
      <fieldGroup base="1">
        <rangePr groupBy="months" startDate="2019-01-09T00:00:00" endDate="2019-12-10T00:00:00"/>
        <groupItems count="14">
          <s v="&lt;1/9/2019"/>
          <s v="Jan"/>
          <s v="Feb"/>
          <s v="Mar"/>
          <s v="Apr"/>
          <s v="May"/>
          <s v="Jun"/>
          <s v="Jul"/>
          <s v="Aug"/>
          <s v="Sep"/>
          <s v="Oct"/>
          <s v="Nov"/>
          <s v="Dec"/>
          <s v="&gt;12/10/2019"/>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nrique Ruiz" refreshedDate="44151.556533101852" createdVersion="6" refreshedVersion="6" minRefreshableVersion="3" recordCount="181" xr:uid="{6003A164-A64E-4AC6-B3E4-D5BCA080BC64}">
  <cacheSource type="worksheet">
    <worksheetSource name="Indicators"/>
  </cacheSource>
  <cacheFields count="5">
    <cacheField name="Country" numFmtId="0">
      <sharedItems/>
    </cacheField>
    <cacheField name="Region" numFmtId="0">
      <sharedItems count="7">
        <s v="South Asia"/>
        <s v="Europe &amp; Central Asia"/>
        <s v="Middle East &amp; North Africa"/>
        <s v="Sub-Saharan Africa"/>
        <s v="Latin America &amp; Caribbean"/>
        <s v="East Asia &amp; Pacific"/>
        <s v="North America"/>
      </sharedItems>
    </cacheField>
    <cacheField name="Population" numFmtId="3">
      <sharedItems containsSemiMixedTypes="0" containsString="0" containsNumber="1" containsInteger="1" minValue="11646" maxValue="1397715000"/>
    </cacheField>
    <cacheField name="Area" numFmtId="3">
      <sharedItems containsSemiMixedTypes="0" containsString="0" containsNumber="1" minValue="26" maxValue="17098240"/>
    </cacheField>
    <cacheField name="Population Density       " numFmtId="0" formula="Population /Area" databaseField="0"/>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nrique Ruiz" refreshedDate="44152.371141203701" createdVersion="6" refreshedVersion="6" minRefreshableVersion="3" recordCount="149" xr:uid="{83BF80C3-325C-4021-A43C-DDDAC9E80F49}">
  <cacheSource type="worksheet">
    <worksheetSource ref="A2:F151" sheet="Taxi Collisions"/>
  </cacheSource>
  <cacheFields count="6">
    <cacheField name="Date" numFmtId="166">
      <sharedItems containsSemiMixedTypes="0" containsNonDate="0" containsDate="1" containsString="0" minDate="2020-01-01T00:00:00" maxDate="2020-07-12T00:00:00"/>
    </cacheField>
    <cacheField name="Time" numFmtId="170">
      <sharedItems containsSemiMixedTypes="0" containsNonDate="0" containsDate="1" containsString="0" minDate="1899-12-30T00:00:00" maxDate="1899-12-30T23:56:00"/>
    </cacheField>
    <cacheField name="District" numFmtId="0">
      <sharedItems/>
    </cacheField>
    <cacheField name="Collision Cause" numFmtId="0">
      <sharedItems count="18">
        <s v="Driver Inattention/Distraction"/>
        <s v="Traffic Control Disregarded"/>
        <s v="Passing Too Closely"/>
        <s v="Other Vehicular"/>
        <s v="Passing or Lane Usage Improper"/>
        <s v="Unsafe Lane Changing"/>
        <s v="Driver Inexperience"/>
        <s v="Unsafe Speed"/>
        <s v="Failure to Yield Right-of-Way"/>
        <s v="Turning Improperly"/>
        <s v="Pedestrian/Bicyclist/Other Pedestrian Error/Confusion"/>
        <s v="Following Too Closely"/>
        <s v="Passenger Distraction"/>
        <s v="Reaction to Uninvolved Vehicle"/>
        <s v="Outside Car Distraction"/>
        <s v="Backing Unsafely"/>
        <s v="Alcohol Involvement"/>
        <s v="View Obstructed/Limited"/>
      </sharedItems>
    </cacheField>
    <cacheField name="Vehicle" numFmtId="0">
      <sharedItems/>
    </cacheField>
    <cacheField name="# of Persons Injured"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200">
  <r>
    <n v="540546"/>
    <x v="0"/>
    <s v="Portugal"/>
    <n v="12766"/>
    <n v="22740"/>
    <m/>
    <n v="48"/>
    <n v="0.85"/>
    <n v="40.799999999999997"/>
  </r>
  <r>
    <n v="541115"/>
    <x v="1"/>
    <s v="Italy"/>
    <n v="12578"/>
    <n v="21260"/>
    <m/>
    <n v="6"/>
    <n v="3.25"/>
    <n v="19.5"/>
  </r>
  <r>
    <n v="541115"/>
    <x v="1"/>
    <s v="Italy"/>
    <n v="12578"/>
    <n v="22190"/>
    <m/>
    <n v="12"/>
    <n v="2.1"/>
    <n v="25.200000000000003"/>
  </r>
  <r>
    <n v="541224"/>
    <x v="2"/>
    <s v="Germany"/>
    <n v="12474"/>
    <n v="21025"/>
    <m/>
    <n v="10"/>
    <n v="1.25"/>
    <n v="12.5"/>
  </r>
  <r>
    <n v="541269"/>
    <x v="3"/>
    <s v="Germany"/>
    <n v="12626"/>
    <n v="22174"/>
    <m/>
    <n v="12"/>
    <n v="1.65"/>
    <n v="19.799999999999997"/>
  </r>
  <r>
    <n v="541509"/>
    <x v="4"/>
    <s v="United Kingdom"/>
    <n v="13263"/>
    <n v="22694"/>
    <m/>
    <n v="1"/>
    <n v="2.1"/>
    <n v="2.1"/>
  </r>
  <r>
    <n v="541631"/>
    <x v="5"/>
    <s v="France"/>
    <n v="12637"/>
    <n v="22174"/>
    <m/>
    <n v="12"/>
    <n v="1.65"/>
    <n v="19.799999999999997"/>
  </r>
  <r>
    <n v="541711"/>
    <x v="6"/>
    <s v="Netherlands"/>
    <n v="14646"/>
    <n v="22653"/>
    <m/>
    <n v="10"/>
    <n v="1.95"/>
    <n v="19.5"/>
  </r>
  <r>
    <n v="542080"/>
    <x v="7"/>
    <s v="Germany"/>
    <n v="13815"/>
    <n v="20713"/>
    <m/>
    <n v="10"/>
    <n v="1.95"/>
    <n v="19.5"/>
  </r>
  <r>
    <n v="542080"/>
    <x v="7"/>
    <s v="Germany"/>
    <n v="13815"/>
    <n v="22740"/>
    <m/>
    <n v="48"/>
    <n v="0.85"/>
    <n v="40.799999999999997"/>
  </r>
  <r>
    <n v="542080"/>
    <x v="7"/>
    <s v="Germany"/>
    <n v="13815"/>
    <n v="22741"/>
    <m/>
    <n v="48"/>
    <n v="0.85"/>
    <n v="40.799999999999997"/>
  </r>
  <r>
    <n v="542371"/>
    <x v="8"/>
    <s v="Germany"/>
    <n v="12468"/>
    <n v="62018"/>
    <m/>
    <n v="6"/>
    <n v="1.95"/>
    <n v="11.7"/>
  </r>
  <r>
    <n v="542428"/>
    <x v="9"/>
    <s v="Sweden"/>
    <n v="17404"/>
    <n v="21260"/>
    <m/>
    <n v="48"/>
    <n v="3.25"/>
    <n v="156"/>
  </r>
  <r>
    <n v="542535"/>
    <x v="9"/>
    <s v="France"/>
    <n v="12735"/>
    <n v="21888"/>
    <m/>
    <n v="4"/>
    <n v="3.75"/>
    <n v="15"/>
  </r>
  <r>
    <n v="542612"/>
    <x v="10"/>
    <s v="United Kingdom"/>
    <n v="17841"/>
    <n v="20713"/>
    <m/>
    <n v="1"/>
    <n v="1.95"/>
    <n v="1.95"/>
  </r>
  <r>
    <n v="542648"/>
    <x v="11"/>
    <s v="Germany"/>
    <n v="12476"/>
    <n v="21116"/>
    <m/>
    <n v="3"/>
    <n v="4.95"/>
    <n v="14.850000000000001"/>
  </r>
  <r>
    <n v="542887"/>
    <x v="12"/>
    <s v="Austria"/>
    <n v="12373"/>
    <n v="20713"/>
    <m/>
    <n v="10"/>
    <n v="1.95"/>
    <n v="19.5"/>
  </r>
  <r>
    <n v="543731"/>
    <x v="13"/>
    <s v="United Kingdom"/>
    <n v="17677"/>
    <n v="20713"/>
    <m/>
    <n v="100"/>
    <n v="1.65"/>
    <n v="165"/>
  </r>
  <r>
    <n v="543733"/>
    <x v="13"/>
    <s v="Belgium"/>
    <n v="12395"/>
    <n v="22740"/>
    <m/>
    <n v="48"/>
    <n v="0.85"/>
    <n v="40.799999999999997"/>
  </r>
  <r>
    <n v="543737"/>
    <x v="13"/>
    <s v="Germany"/>
    <n v="12477"/>
    <n v="21116"/>
    <m/>
    <n v="3"/>
    <n v="4.95"/>
    <n v="14.850000000000001"/>
  </r>
  <r>
    <n v="543831"/>
    <x v="14"/>
    <s v="United Kingdom"/>
    <n v="15769"/>
    <n v="20713"/>
    <m/>
    <n v="100"/>
    <n v="1.65"/>
    <n v="165"/>
  </r>
  <r>
    <n v="544355"/>
    <x v="15"/>
    <s v="France"/>
    <n v="12714"/>
    <n v="22741"/>
    <m/>
    <n v="48"/>
    <n v="0.85"/>
    <n v="40.799999999999997"/>
  </r>
  <r>
    <n v="544355"/>
    <x v="15"/>
    <s v="France"/>
    <n v="12714"/>
    <n v="22740"/>
    <m/>
    <n v="96"/>
    <n v="0.85"/>
    <n v="81.599999999999994"/>
  </r>
  <r>
    <n v="544399"/>
    <x v="15"/>
    <s v="Italy"/>
    <n v="12594"/>
    <n v="20713"/>
    <m/>
    <n v="10"/>
    <n v="1.95"/>
    <n v="19.5"/>
  </r>
  <r>
    <n v="544480"/>
    <x v="16"/>
    <s v="Netherlands"/>
    <n v="14646"/>
    <n v="20713"/>
    <m/>
    <n v="100"/>
    <n v="1.65"/>
    <n v="165"/>
  </r>
  <r>
    <n v="544480"/>
    <x v="16"/>
    <s v="Netherlands"/>
    <n v="14646"/>
    <n v="22653"/>
    <m/>
    <n v="200"/>
    <n v="1.65"/>
    <n v="330"/>
  </r>
  <r>
    <n v="544657"/>
    <x v="17"/>
    <s v="United Kingdom"/>
    <n v="14895"/>
    <n v="22174"/>
    <m/>
    <n v="12"/>
    <n v="1.65"/>
    <n v="19.799999999999997"/>
  </r>
  <r>
    <n v="544672"/>
    <x v="17"/>
    <s v="Netherlands"/>
    <n v="14646"/>
    <n v="22653"/>
    <m/>
    <n v="20"/>
    <n v="1.95"/>
    <n v="39"/>
  </r>
  <r>
    <n v="544672"/>
    <x v="17"/>
    <s v="Netherlands"/>
    <n v="14646"/>
    <n v="20713"/>
    <m/>
    <n v="100"/>
    <n v="1.65"/>
    <n v="165"/>
  </r>
  <r>
    <n v="544811"/>
    <x v="18"/>
    <s v="Germany"/>
    <n v="12471"/>
    <n v="22741"/>
    <m/>
    <n v="48"/>
    <n v="0.85"/>
    <n v="40.799999999999997"/>
  </r>
  <r>
    <n v="545664"/>
    <x v="19"/>
    <s v="Italy"/>
    <n v="12584"/>
    <n v="21260"/>
    <m/>
    <n v="6"/>
    <n v="3.25"/>
    <n v="19.5"/>
  </r>
  <r>
    <n v="545937"/>
    <x v="20"/>
    <s v="Portugal"/>
    <n v="12758"/>
    <n v="22740"/>
    <m/>
    <n v="48"/>
    <n v="0.85"/>
    <n v="40.799999999999997"/>
  </r>
  <r>
    <n v="545988"/>
    <x v="20"/>
    <s v="Germany"/>
    <n v="12662"/>
    <n v="20713"/>
    <m/>
    <n v="10"/>
    <n v="1.95"/>
    <n v="19.5"/>
  </r>
  <r>
    <n v="546780"/>
    <x v="21"/>
    <s v="Denmark"/>
    <n v="12435"/>
    <n v="20713"/>
    <m/>
    <n v="20"/>
    <n v="1.95"/>
    <n v="39"/>
  </r>
  <r>
    <n v="546843"/>
    <x v="21"/>
    <s v="Germany"/>
    <n v="12472"/>
    <n v="20713"/>
    <m/>
    <n v="10"/>
    <n v="1.95"/>
    <n v="19.5"/>
  </r>
  <r>
    <n v="546843"/>
    <x v="21"/>
    <s v="Germany"/>
    <n v="12472"/>
    <n v="22740"/>
    <m/>
    <n v="48"/>
    <n v="0.85"/>
    <n v="40.799999999999997"/>
  </r>
  <r>
    <n v="546920"/>
    <x v="22"/>
    <s v="Germany"/>
    <n v="12471"/>
    <n v="22741"/>
    <m/>
    <n v="48"/>
    <n v="0.85"/>
    <n v="40.799999999999997"/>
  </r>
  <r>
    <n v="547194"/>
    <x v="23"/>
    <s v="France"/>
    <n v="12637"/>
    <n v="20713"/>
    <m/>
    <n v="2"/>
    <n v="1.95"/>
    <n v="3.9"/>
  </r>
  <r>
    <n v="547517"/>
    <x v="24"/>
    <s v="Belgium"/>
    <n v="12395"/>
    <n v="22740"/>
    <m/>
    <n v="48"/>
    <n v="0.85"/>
    <n v="40.799999999999997"/>
  </r>
  <r>
    <n v="547685"/>
    <x v="25"/>
    <s v="Belgium"/>
    <n v="12408"/>
    <n v="20713"/>
    <m/>
    <n v="10"/>
    <n v="1.95"/>
    <n v="19.5"/>
  </r>
  <r>
    <n v="547897"/>
    <x v="26"/>
    <s v="Portugal"/>
    <n v="12792"/>
    <n v="21888"/>
    <m/>
    <n v="4"/>
    <n v="3.75"/>
    <n v="15"/>
  </r>
  <r>
    <n v="548711"/>
    <x v="27"/>
    <s v="United Kingdom"/>
    <n v="18116"/>
    <n v="22694"/>
    <m/>
    <n v="1"/>
    <n v="2.1"/>
    <n v="2.1"/>
  </r>
  <r>
    <n v="548745"/>
    <x v="28"/>
    <s v="Germany"/>
    <n v="12471"/>
    <n v="22741"/>
    <m/>
    <n v="48"/>
    <n v="0.85"/>
    <n v="40.799999999999997"/>
  </r>
  <r>
    <n v="550188"/>
    <x v="29"/>
    <s v="Switzerland"/>
    <n v="12457"/>
    <n v="21888"/>
    <m/>
    <n v="4"/>
    <n v="3.75"/>
    <n v="15"/>
  </r>
  <r>
    <n v="550665"/>
    <x v="30"/>
    <s v="Germany"/>
    <n v="12530"/>
    <n v="22740"/>
    <m/>
    <n v="48"/>
    <n v="0.85"/>
    <n v="40.799999999999997"/>
  </r>
  <r>
    <n v="550827"/>
    <x v="31"/>
    <s v="France"/>
    <n v="12670"/>
    <n v="22740"/>
    <m/>
    <n v="48"/>
    <n v="0.85"/>
    <n v="40.799999999999997"/>
  </r>
  <r>
    <n v="552337"/>
    <x v="32"/>
    <s v="Germany"/>
    <n v="12621"/>
    <n v="21116"/>
    <m/>
    <n v="3"/>
    <n v="4.95"/>
    <n v="14.850000000000001"/>
  </r>
  <r>
    <n v="552978"/>
    <x v="33"/>
    <s v="Germany"/>
    <n v="12590"/>
    <n v="22740"/>
    <m/>
    <n v="48"/>
    <n v="0.85"/>
    <n v="40.799999999999997"/>
  </r>
  <r>
    <n v="553037"/>
    <x v="34"/>
    <s v="Germany"/>
    <n v="12471"/>
    <n v="22741"/>
    <m/>
    <n v="48"/>
    <n v="0.85"/>
    <n v="40.799999999999997"/>
  </r>
  <r>
    <n v="553377"/>
    <x v="35"/>
    <s v="United Kingdom"/>
    <n v="14888"/>
    <n v="21888"/>
    <m/>
    <n v="6"/>
    <n v="3.75"/>
    <n v="22.5"/>
  </r>
  <r>
    <n v="553540"/>
    <x v="36"/>
    <s v="United Kingdom"/>
    <n v="17511"/>
    <n v="21888"/>
    <m/>
    <n v="4"/>
    <n v="3.75"/>
    <n v="15"/>
  </r>
  <r>
    <n v="553832"/>
    <x v="37"/>
    <s v="United Kingdom"/>
    <n v="12957"/>
    <n v="21025"/>
    <m/>
    <n v="10"/>
    <n v="1.25"/>
    <n v="12.5"/>
  </r>
  <r>
    <n v="554356"/>
    <x v="38"/>
    <s v="France"/>
    <n v="12670"/>
    <n v="22740"/>
    <m/>
    <n v="48"/>
    <n v="0.85"/>
    <n v="40.799999999999997"/>
  </r>
  <r>
    <n v="555095"/>
    <x v="39"/>
    <s v="Spain"/>
    <n v="12540"/>
    <n v="21116"/>
    <m/>
    <n v="3"/>
    <n v="4.95"/>
    <n v="14.850000000000001"/>
  </r>
  <r>
    <n v="555162"/>
    <x v="40"/>
    <s v="Germany"/>
    <n v="12473"/>
    <n v="22740"/>
    <m/>
    <n v="48"/>
    <n v="0.85"/>
    <n v="40.799999999999997"/>
  </r>
  <r>
    <n v="555162"/>
    <x v="40"/>
    <s v="Germany"/>
    <n v="12473"/>
    <n v="22741"/>
    <m/>
    <n v="48"/>
    <n v="0.85"/>
    <n v="40.799999999999997"/>
  </r>
  <r>
    <n v="555284"/>
    <x v="41"/>
    <s v="United Kingdom"/>
    <n v="14298"/>
    <n v="62018"/>
    <m/>
    <n v="48"/>
    <n v="1.25"/>
    <n v="60"/>
  </r>
  <r>
    <n v="555572"/>
    <x v="42"/>
    <s v="Belgium"/>
    <n v="12449"/>
    <n v="21888"/>
    <m/>
    <n v="4"/>
    <n v="3.75"/>
    <n v="15"/>
  </r>
  <r>
    <n v="555637"/>
    <x v="43"/>
    <s v="France"/>
    <n v="12535"/>
    <n v="21116"/>
    <m/>
    <n v="3"/>
    <n v="4.95"/>
    <n v="14.850000000000001"/>
  </r>
  <r>
    <n v="556258"/>
    <x v="44"/>
    <s v="France"/>
    <n v="12694"/>
    <n v="21888"/>
    <m/>
    <n v="4"/>
    <n v="3.75"/>
    <n v="15"/>
  </r>
  <r>
    <n v="557007"/>
    <x v="45"/>
    <s v="Spain"/>
    <n v="12484"/>
    <n v="22197"/>
    <m/>
    <n v="5"/>
    <n v="0.85"/>
    <n v="4.25"/>
  </r>
  <r>
    <n v="557466"/>
    <x v="46"/>
    <s v="Germany"/>
    <n v="13815"/>
    <n v="22740"/>
    <m/>
    <n v="48"/>
    <n v="0.85"/>
    <n v="40.799999999999997"/>
  </r>
  <r>
    <n v="557509"/>
    <x v="46"/>
    <s v="United Kingdom"/>
    <n v="15389"/>
    <n v="62018"/>
    <m/>
    <n v="400"/>
    <n v="1.25"/>
    <n v="500"/>
  </r>
  <r>
    <n v="557525"/>
    <x v="47"/>
    <s v="Netherlands"/>
    <n v="12759"/>
    <n v="21260"/>
    <m/>
    <n v="6"/>
    <n v="3.25"/>
    <n v="19.5"/>
  </r>
  <r>
    <n v="557789"/>
    <x v="48"/>
    <s v="Belgium"/>
    <n v="12379"/>
    <n v="22740"/>
    <m/>
    <n v="48"/>
    <n v="0.85"/>
    <n v="40.799999999999997"/>
  </r>
  <r>
    <n v="557885"/>
    <x v="49"/>
    <s v="Belgium"/>
    <n v="12465"/>
    <n v="22740"/>
    <m/>
    <n v="48"/>
    <n v="0.85"/>
    <n v="40.799999999999997"/>
  </r>
  <r>
    <n v="558262"/>
    <x v="50"/>
    <s v="Netherlands"/>
    <n v="14646"/>
    <n v="20713"/>
    <m/>
    <n v="200"/>
    <n v="1.79"/>
    <n v="358"/>
  </r>
  <r>
    <n v="558628"/>
    <x v="51"/>
    <s v="Germany"/>
    <n v="12626"/>
    <n v="20713"/>
    <m/>
    <n v="10"/>
    <n v="2.08"/>
    <n v="20.8"/>
  </r>
  <r>
    <n v="559036"/>
    <x v="52"/>
    <s v="France"/>
    <n v="12637"/>
    <n v="22174"/>
    <m/>
    <n v="12"/>
    <n v="1.65"/>
    <n v="19.799999999999997"/>
  </r>
  <r>
    <n v="559366"/>
    <x v="53"/>
    <s v="United Kingdom"/>
    <n v="13102"/>
    <n v="22197"/>
    <m/>
    <n v="24"/>
    <n v="0.85"/>
    <n v="20.399999999999999"/>
  </r>
  <r>
    <n v="559418"/>
    <x v="53"/>
    <s v="France"/>
    <n v="12681"/>
    <n v="22197"/>
    <m/>
    <n v="12"/>
    <n v="0.85"/>
    <n v="10.199999999999999"/>
  </r>
  <r>
    <n v="559550"/>
    <x v="54"/>
    <s v="United Kingdom"/>
    <n v="17757"/>
    <n v="22197"/>
    <m/>
    <n v="10"/>
    <n v="0.85"/>
    <n v="8.5"/>
  </r>
  <r>
    <n v="559665"/>
    <x v="55"/>
    <s v="Spain"/>
    <n v="12556"/>
    <n v="22197"/>
    <m/>
    <n v="4"/>
    <n v="0.85"/>
    <n v="3.4"/>
  </r>
  <r>
    <n v="559862"/>
    <x v="56"/>
    <s v="Portugal"/>
    <n v="12782"/>
    <n v="22740"/>
    <m/>
    <n v="48"/>
    <n v="0.85"/>
    <n v="40.799999999999997"/>
  </r>
  <r>
    <n v="559907"/>
    <x v="56"/>
    <s v="Portugal"/>
    <n v="12766"/>
    <n v="22740"/>
    <m/>
    <n v="96"/>
    <n v="0.85"/>
    <n v="81.599999999999994"/>
  </r>
  <r>
    <n v="560211"/>
    <x v="57"/>
    <s v="Germany"/>
    <n v="12621"/>
    <n v="20713"/>
    <m/>
    <n v="10"/>
    <n v="2.08"/>
    <n v="20.8"/>
  </r>
  <r>
    <n v="560590"/>
    <x v="58"/>
    <s v="Germany"/>
    <n v="12560"/>
    <n v="22740"/>
    <m/>
    <n v="48"/>
    <n v="0.85"/>
    <n v="40.799999999999997"/>
  </r>
  <r>
    <n v="560694"/>
    <x v="59"/>
    <s v="Portugal"/>
    <n v="12757"/>
    <n v="20713"/>
    <m/>
    <n v="10"/>
    <n v="2.08"/>
    <n v="20.8"/>
  </r>
  <r>
    <n v="560901"/>
    <x v="60"/>
    <s v="Germany"/>
    <n v="12476"/>
    <n v="21116"/>
    <m/>
    <n v="3"/>
    <n v="4.95"/>
    <n v="14.850000000000001"/>
  </r>
  <r>
    <n v="561066"/>
    <x v="61"/>
    <s v="United Kingdom"/>
    <n v="16710"/>
    <n v="22197"/>
    <m/>
    <n v="12"/>
    <n v="0.85"/>
    <n v="10.199999999999999"/>
  </r>
  <r>
    <n v="561093"/>
    <x v="62"/>
    <s v="Spain"/>
    <n v="12540"/>
    <n v="21116"/>
    <m/>
    <n v="6"/>
    <n v="4.95"/>
    <n v="29.700000000000003"/>
  </r>
  <r>
    <n v="561093"/>
    <x v="62"/>
    <s v="Spain"/>
    <n v="12540"/>
    <n v="22740"/>
    <m/>
    <n v="48"/>
    <n v="0.85"/>
    <n v="40.799999999999997"/>
  </r>
  <r>
    <n v="561902"/>
    <x v="63"/>
    <s v="Sweden"/>
    <n v="17404"/>
    <n v="21260"/>
    <m/>
    <n v="48"/>
    <n v="3.25"/>
    <n v="156"/>
  </r>
  <r>
    <n v="562605"/>
    <x v="64"/>
    <s v="Germany"/>
    <n v="12530"/>
    <n v="20713"/>
    <m/>
    <n v="10"/>
    <n v="2.08"/>
    <n v="20.8"/>
  </r>
  <r>
    <n v="562789"/>
    <x v="65"/>
    <s v="Netherlands"/>
    <n v="14646"/>
    <n v="20713"/>
    <m/>
    <n v="100"/>
    <n v="1.79"/>
    <n v="179"/>
  </r>
  <r>
    <n v="563749"/>
    <x v="66"/>
    <s v="Austria"/>
    <n v="12360"/>
    <n v="20713"/>
    <m/>
    <n v="10"/>
    <n v="2.08"/>
    <n v="20.8"/>
  </r>
  <r>
    <n v="563756"/>
    <x v="66"/>
    <s v="Switzerland"/>
    <n v="12418"/>
    <n v="21888"/>
    <m/>
    <n v="4"/>
    <n v="3.75"/>
    <n v="15"/>
  </r>
  <r>
    <n v="563808"/>
    <x v="66"/>
    <s v="Germany"/>
    <n v="12626"/>
    <n v="20713"/>
    <m/>
    <n v="20"/>
    <n v="2.08"/>
    <n v="41.6"/>
  </r>
  <r>
    <n v="563950"/>
    <x v="67"/>
    <s v="Germany"/>
    <n v="12471"/>
    <n v="22741"/>
    <m/>
    <n v="96"/>
    <n v="0.85"/>
    <n v="81.599999999999994"/>
  </r>
  <r>
    <n v="564140"/>
    <x v="68"/>
    <s v="Germany"/>
    <n v="12621"/>
    <n v="21116"/>
    <m/>
    <n v="3"/>
    <n v="4.95"/>
    <n v="14.850000000000001"/>
  </r>
  <r>
    <n v="564328"/>
    <x v="69"/>
    <s v="Germany"/>
    <n v="12662"/>
    <n v="20713"/>
    <m/>
    <n v="10"/>
    <n v="2.08"/>
    <n v="20.8"/>
  </r>
  <r>
    <n v="564360"/>
    <x v="69"/>
    <s v="Germany"/>
    <n v="12471"/>
    <n v="22741"/>
    <m/>
    <n v="96"/>
    <n v="0.85"/>
    <n v="81.599999999999994"/>
  </r>
  <r>
    <n v="564438"/>
    <x v="70"/>
    <s v="United Kingdom"/>
    <n v="16628"/>
    <n v="20713"/>
    <m/>
    <n v="20"/>
    <n v="2.08"/>
    <n v="41.6"/>
  </r>
  <r>
    <n v="564479"/>
    <x v="70"/>
    <s v="France"/>
    <n v="12682"/>
    <n v="22197"/>
    <m/>
    <n v="12"/>
    <n v="0.85"/>
    <n v="10.199999999999999"/>
  </r>
  <r>
    <n v="564539"/>
    <x v="70"/>
    <s v="Sweden"/>
    <n v="12715"/>
    <n v="20713"/>
    <m/>
    <n v="10"/>
    <n v="2.08"/>
    <n v="20.8"/>
  </r>
  <r>
    <n v="564734"/>
    <x v="71"/>
    <s v="Spain"/>
    <n v="12484"/>
    <n v="22197"/>
    <m/>
    <n v="18"/>
    <n v="0.85"/>
    <n v="15.299999999999999"/>
  </r>
  <r>
    <n v="564965"/>
    <x v="72"/>
    <s v="United Kingdom"/>
    <n v="17677"/>
    <n v="22197"/>
    <m/>
    <n v="12"/>
    <n v="0.85"/>
    <n v="10.199999999999999"/>
  </r>
  <r>
    <n v="565333"/>
    <x v="73"/>
    <s v="Finland"/>
    <n v="12375"/>
    <n v="20713"/>
    <m/>
    <n v="10"/>
    <n v="2.08"/>
    <n v="20.8"/>
  </r>
  <r>
    <n v="565386"/>
    <x v="73"/>
    <s v="United Kingdom"/>
    <n v="17997"/>
    <n v="22174"/>
    <m/>
    <n v="6"/>
    <n v="1.65"/>
    <n v="9.8999999999999986"/>
  </r>
  <r>
    <n v="565416"/>
    <x v="74"/>
    <s v="Germany"/>
    <n v="12710"/>
    <n v="22197"/>
    <m/>
    <n v="12"/>
    <n v="0.85"/>
    <n v="10.199999999999999"/>
  </r>
  <r>
    <n v="565430"/>
    <x v="74"/>
    <s v="Germany"/>
    <n v="14335"/>
    <n v="22174"/>
    <m/>
    <n v="12"/>
    <n v="1.65"/>
    <n v="19.799999999999997"/>
  </r>
  <r>
    <n v="565519"/>
    <x v="75"/>
    <s v="Spain"/>
    <n v="12502"/>
    <n v="22741"/>
    <m/>
    <n v="48"/>
    <n v="0.85"/>
    <n v="40.799999999999997"/>
  </r>
  <r>
    <n v="565765"/>
    <x v="76"/>
    <s v="Germany"/>
    <n v="12526"/>
    <n v="20713"/>
    <m/>
    <n v="10"/>
    <n v="2.08"/>
    <n v="20.8"/>
  </r>
  <r>
    <n v="565854"/>
    <x v="77"/>
    <s v="France"/>
    <n v="12490"/>
    <n v="22197"/>
    <m/>
    <n v="36"/>
    <n v="0.85"/>
    <n v="30.599999999999998"/>
  </r>
  <r>
    <n v="565865"/>
    <x v="77"/>
    <s v="France"/>
    <n v="12637"/>
    <n v="22174"/>
    <m/>
    <n v="12"/>
    <n v="1.65"/>
    <n v="19.799999999999997"/>
  </r>
  <r>
    <n v="565930"/>
    <x v="78"/>
    <s v="France"/>
    <n v="12685"/>
    <n v="22174"/>
    <m/>
    <n v="12"/>
    <n v="1.65"/>
    <n v="19.799999999999997"/>
  </r>
  <r>
    <n v="565967"/>
    <x v="78"/>
    <s v="Netherlands"/>
    <n v="14646"/>
    <n v="20713"/>
    <m/>
    <n v="10"/>
    <n v="2.08"/>
    <n v="20.8"/>
  </r>
  <r>
    <n v="565967"/>
    <x v="78"/>
    <s v="Netherlands"/>
    <n v="14646"/>
    <n v="22653"/>
    <m/>
    <n v="20"/>
    <n v="1.95"/>
    <n v="39"/>
  </r>
  <r>
    <n v="566076"/>
    <x v="79"/>
    <s v="Belgium"/>
    <n v="12449"/>
    <n v="21888"/>
    <m/>
    <n v="4"/>
    <n v="3.75"/>
    <n v="15"/>
  </r>
  <r>
    <n v="566163"/>
    <x v="79"/>
    <s v="France"/>
    <n v="12637"/>
    <n v="22174"/>
    <m/>
    <n v="12"/>
    <n v="1.65"/>
    <n v="19.799999999999997"/>
  </r>
  <r>
    <n v="566195"/>
    <x v="79"/>
    <s v="Norway"/>
    <n v="12433"/>
    <n v="22197"/>
    <m/>
    <n v="100"/>
    <n v="0.72"/>
    <n v="72"/>
  </r>
  <r>
    <n v="566567"/>
    <x v="80"/>
    <s v="United Kingdom"/>
    <n v="16161"/>
    <n v="20713"/>
    <m/>
    <n v="10"/>
    <n v="2.08"/>
    <n v="20.8"/>
  </r>
  <r>
    <n v="566721"/>
    <x v="81"/>
    <s v="United Kingdom"/>
    <n v="12921"/>
    <n v="22653"/>
    <m/>
    <n v="10"/>
    <n v="1.95"/>
    <n v="19.5"/>
  </r>
  <r>
    <n v="567185"/>
    <x v="82"/>
    <s v="United Kingdom"/>
    <n v="16370"/>
    <n v="20713"/>
    <m/>
    <n v="4"/>
    <n v="2.08"/>
    <n v="8.32"/>
  </r>
  <r>
    <n v="567280"/>
    <x v="83"/>
    <s v="Netherlands"/>
    <n v="14646"/>
    <n v="20713"/>
    <m/>
    <n v="100"/>
    <n v="1.79"/>
    <n v="179"/>
  </r>
  <r>
    <n v="567526"/>
    <x v="84"/>
    <s v="Denmark"/>
    <n v="12435"/>
    <n v="20713"/>
    <m/>
    <n v="100"/>
    <n v="1.79"/>
    <n v="179"/>
  </r>
  <r>
    <n v="567552"/>
    <x v="84"/>
    <s v="France"/>
    <n v="12583"/>
    <n v="22197"/>
    <m/>
    <n v="24"/>
    <n v="0.85"/>
    <n v="20.399999999999999"/>
  </r>
  <r>
    <n v="567795"/>
    <x v="85"/>
    <s v="Netherlands"/>
    <n v="14646"/>
    <n v="20713"/>
    <m/>
    <n v="100"/>
    <n v="1.79"/>
    <n v="179"/>
  </r>
  <r>
    <n v="567915"/>
    <x v="85"/>
    <s v="France"/>
    <n v="12579"/>
    <n v="62018"/>
    <m/>
    <n v="6"/>
    <n v="1.95"/>
    <n v="11.7"/>
  </r>
  <r>
    <n v="567924"/>
    <x v="85"/>
    <s v="Germany"/>
    <n v="12471"/>
    <n v="22741"/>
    <m/>
    <n v="48"/>
    <n v="0.85"/>
    <n v="40.799999999999997"/>
  </r>
  <r>
    <n v="567928"/>
    <x v="85"/>
    <s v="Belgium"/>
    <n v="12380"/>
    <n v="20713"/>
    <m/>
    <n v="10"/>
    <n v="2.08"/>
    <n v="20.8"/>
  </r>
  <r>
    <n v="567938"/>
    <x v="85"/>
    <s v="Finland"/>
    <n v="12704"/>
    <n v="22694"/>
    <m/>
    <n v="6"/>
    <n v="2.1"/>
    <n v="12.600000000000001"/>
  </r>
  <r>
    <n v="568040"/>
    <x v="86"/>
    <s v="France"/>
    <n v="12681"/>
    <n v="22197"/>
    <m/>
    <n v="12"/>
    <n v="0.85"/>
    <n v="10.199999999999999"/>
  </r>
  <r>
    <n v="568179"/>
    <x v="87"/>
    <s v="Spain"/>
    <n v="12545"/>
    <n v="22197"/>
    <m/>
    <n v="12"/>
    <n v="0.85"/>
    <n v="10.199999999999999"/>
  </r>
  <r>
    <n v="568650"/>
    <x v="88"/>
    <s v="Switzerland"/>
    <n v="13505"/>
    <n v="22653"/>
    <m/>
    <n v="10"/>
    <n v="1.95"/>
    <n v="19.5"/>
  </r>
  <r>
    <n v="568650"/>
    <x v="88"/>
    <s v="Switzerland"/>
    <n v="13505"/>
    <n v="22174"/>
    <m/>
    <n v="12"/>
    <n v="1.65"/>
    <n v="19.799999999999997"/>
  </r>
  <r>
    <n v="568953"/>
    <x v="89"/>
    <s v="France"/>
    <n v="12728"/>
    <n v="22197"/>
    <m/>
    <n v="12"/>
    <n v="0.85"/>
    <n v="10.199999999999999"/>
  </r>
  <r>
    <n v="568953"/>
    <x v="89"/>
    <s v="France"/>
    <n v="12728"/>
    <n v="22741"/>
    <m/>
    <n v="48"/>
    <n v="0.85"/>
    <n v="40.799999999999997"/>
  </r>
  <r>
    <n v="569332"/>
    <x v="90"/>
    <s v="France"/>
    <n v="12637"/>
    <n v="20713"/>
    <m/>
    <n v="3"/>
    <n v="2.08"/>
    <n v="6.24"/>
  </r>
  <r>
    <n v="569486"/>
    <x v="91"/>
    <s v="United Kingdom"/>
    <n v="15339"/>
    <n v="22694"/>
    <m/>
    <n v="2"/>
    <n v="2.1"/>
    <n v="4.2"/>
  </r>
  <r>
    <n v="569562"/>
    <x v="92"/>
    <s v="Germany"/>
    <n v="12720"/>
    <n v="22197"/>
    <m/>
    <n v="12"/>
    <n v="0.85"/>
    <n v="10.199999999999999"/>
  </r>
  <r>
    <n v="569640"/>
    <x v="92"/>
    <s v="Germany"/>
    <n v="12471"/>
    <n v="22741"/>
    <m/>
    <n v="96"/>
    <n v="0.85"/>
    <n v="81.599999999999994"/>
  </r>
  <r>
    <n v="569653"/>
    <x v="92"/>
    <s v="Switzerland"/>
    <n v="12451"/>
    <n v="20713"/>
    <m/>
    <n v="10"/>
    <n v="2.08"/>
    <n v="20.8"/>
  </r>
  <r>
    <n v="569844"/>
    <x v="93"/>
    <s v="Germany"/>
    <n v="12626"/>
    <n v="20713"/>
    <m/>
    <n v="10"/>
    <n v="2.08"/>
    <n v="20.8"/>
  </r>
  <r>
    <n v="569848"/>
    <x v="93"/>
    <s v="United Kingdom"/>
    <n v="16316"/>
    <n v="22197"/>
    <m/>
    <n v="24"/>
    <n v="0.85"/>
    <n v="20.399999999999999"/>
  </r>
  <r>
    <n v="569860"/>
    <x v="93"/>
    <s v="Germany"/>
    <n v="13812"/>
    <n v="22197"/>
    <m/>
    <n v="12"/>
    <n v="0.85"/>
    <n v="10.199999999999999"/>
  </r>
  <r>
    <n v="569866"/>
    <x v="93"/>
    <s v="Portugal"/>
    <n v="12757"/>
    <n v="20713"/>
    <m/>
    <n v="10"/>
    <n v="2.08"/>
    <n v="20.8"/>
  </r>
  <r>
    <n v="569866"/>
    <x v="93"/>
    <s v="Portugal"/>
    <n v="12757"/>
    <n v="22741"/>
    <m/>
    <n v="12"/>
    <n v="0.85"/>
    <n v="10.199999999999999"/>
  </r>
  <r>
    <n v="570249"/>
    <x v="94"/>
    <s v="United Kingdom"/>
    <n v="17509"/>
    <n v="21888"/>
    <m/>
    <n v="4"/>
    <n v="3.75"/>
    <n v="15"/>
  </r>
  <r>
    <n v="570653"/>
    <x v="95"/>
    <s v="United Kingdom"/>
    <n v="14710"/>
    <n v="22197"/>
    <m/>
    <n v="6"/>
    <n v="0.85"/>
    <n v="5.0999999999999996"/>
  </r>
  <r>
    <n v="570672"/>
    <x v="95"/>
    <s v="France"/>
    <n v="12536"/>
    <n v="21888"/>
    <m/>
    <n v="4"/>
    <n v="3.75"/>
    <n v="15"/>
  </r>
  <r>
    <n v="570833"/>
    <x v="96"/>
    <s v="United Kingdom"/>
    <n v="14834"/>
    <n v="22197"/>
    <m/>
    <n v="24"/>
    <n v="0.85"/>
    <n v="20.399999999999999"/>
  </r>
  <r>
    <n v="570851"/>
    <x v="96"/>
    <s v="France"/>
    <n v="12583"/>
    <n v="22197"/>
    <m/>
    <n v="12"/>
    <n v="0.85"/>
    <n v="10.199999999999999"/>
  </r>
  <r>
    <n v="570964"/>
    <x v="97"/>
    <s v="Portugal"/>
    <n v="12766"/>
    <n v="21888"/>
    <m/>
    <n v="4"/>
    <n v="3.75"/>
    <n v="15"/>
  </r>
  <r>
    <n v="571227"/>
    <x v="98"/>
    <s v="Germany"/>
    <n v="12477"/>
    <n v="21116"/>
    <m/>
    <n v="6"/>
    <n v="4.95"/>
    <n v="29.700000000000003"/>
  </r>
  <r>
    <n v="571280"/>
    <x v="99"/>
    <s v="United Kingdom"/>
    <n v="18122"/>
    <n v="22197"/>
    <m/>
    <n v="6"/>
    <n v="0.85"/>
    <n v="5.0999999999999996"/>
  </r>
  <r>
    <n v="571328"/>
    <x v="100"/>
    <s v="Germany"/>
    <n v="12473"/>
    <n v="22741"/>
    <m/>
    <n v="48"/>
    <n v="0.85"/>
    <n v="40.799999999999997"/>
  </r>
  <r>
    <n v="571670"/>
    <x v="101"/>
    <s v="Italy"/>
    <n v="12611"/>
    <n v="22197"/>
    <m/>
    <n v="12"/>
    <n v="0.85"/>
    <n v="10.199999999999999"/>
  </r>
  <r>
    <n v="571904"/>
    <x v="102"/>
    <s v="Germany"/>
    <n v="12522"/>
    <n v="21116"/>
    <m/>
    <n v="3"/>
    <n v="4.95"/>
    <n v="14.850000000000001"/>
  </r>
  <r>
    <n v="572058"/>
    <x v="103"/>
    <s v="United Kingdom"/>
    <n v="18252"/>
    <n v="23417"/>
    <m/>
    <n v="1"/>
    <n v="1.65"/>
    <n v="1.65"/>
  </r>
  <r>
    <n v="572065"/>
    <x v="103"/>
    <s v="Spain"/>
    <n v="12556"/>
    <n v="22197"/>
    <m/>
    <n v="3"/>
    <n v="0.85"/>
    <n v="2.5499999999999998"/>
  </r>
  <r>
    <n v="572327"/>
    <x v="104"/>
    <s v="United Kingdom"/>
    <n v="15277"/>
    <n v="21888"/>
    <m/>
    <n v="8"/>
    <n v="3.75"/>
    <n v="30"/>
  </r>
  <r>
    <n v="572887"/>
    <x v="105"/>
    <s v="Belgium"/>
    <n v="12362"/>
    <n v="22174"/>
    <m/>
    <n v="12"/>
    <n v="1.65"/>
    <n v="19.799999999999997"/>
  </r>
  <r>
    <n v="573333"/>
    <x v="106"/>
    <s v="Sweden"/>
    <n v="12483"/>
    <n v="21888"/>
    <m/>
    <n v="4"/>
    <n v="3.75"/>
    <n v="15"/>
  </r>
  <r>
    <n v="573343"/>
    <x v="106"/>
    <s v="United Kingdom"/>
    <n v="13566"/>
    <n v="21888"/>
    <m/>
    <n v="2"/>
    <n v="3.75"/>
    <n v="7.5"/>
  </r>
  <r>
    <n v="573656"/>
    <x v="107"/>
    <s v="Belgium"/>
    <n v="12417"/>
    <n v="22741"/>
    <m/>
    <n v="48"/>
    <n v="0.85"/>
    <n v="40.799999999999997"/>
  </r>
  <r>
    <n v="573814"/>
    <x v="108"/>
    <s v="United Kingdom"/>
    <n v="13268"/>
    <n v="23417"/>
    <m/>
    <n v="4"/>
    <n v="1.65"/>
    <n v="6.6"/>
  </r>
  <r>
    <n v="573889"/>
    <x v="108"/>
    <s v="United Kingdom"/>
    <n v="13571"/>
    <n v="22197"/>
    <m/>
    <n v="15"/>
    <n v="0.85"/>
    <n v="12.75"/>
  </r>
  <r>
    <n v="574093"/>
    <x v="109"/>
    <s v="France"/>
    <n v="12437"/>
    <n v="22197"/>
    <m/>
    <n v="12"/>
    <n v="0.85"/>
    <n v="10.199999999999999"/>
  </r>
  <r>
    <n v="574329"/>
    <x v="110"/>
    <s v="Belgium"/>
    <n v="12362"/>
    <n v="22197"/>
    <m/>
    <n v="36"/>
    <n v="0.85"/>
    <n v="30.599999999999998"/>
  </r>
  <r>
    <n v="574501"/>
    <x v="110"/>
    <s v="France"/>
    <n v="12577"/>
    <n v="22174"/>
    <m/>
    <n v="3"/>
    <n v="1.65"/>
    <n v="4.9499999999999993"/>
  </r>
  <r>
    <n v="574506"/>
    <x v="110"/>
    <s v="France"/>
    <n v="12577"/>
    <n v="22197"/>
    <m/>
    <n v="2"/>
    <n v="0.85"/>
    <n v="1.7"/>
  </r>
  <r>
    <n v="574506"/>
    <x v="110"/>
    <s v="France"/>
    <n v="12577"/>
    <n v="22197"/>
    <m/>
    <n v="4"/>
    <n v="0.85"/>
    <n v="3.4"/>
  </r>
  <r>
    <n v="574550"/>
    <x v="110"/>
    <s v="Spain"/>
    <n v="12484"/>
    <n v="22197"/>
    <m/>
    <n v="12"/>
    <n v="0.85"/>
    <n v="10.199999999999999"/>
  </r>
  <r>
    <n v="574575"/>
    <x v="110"/>
    <s v="United Kingdom"/>
    <n v="14971"/>
    <n v="22694"/>
    <m/>
    <n v="2"/>
    <n v="2.1"/>
    <n v="4.2"/>
  </r>
  <r>
    <n v="574709"/>
    <x v="111"/>
    <s v="United Kingdom"/>
    <n v="17768"/>
    <n v="22197"/>
    <m/>
    <n v="22"/>
    <n v="0.85"/>
    <n v="18.7"/>
  </r>
  <r>
    <n v="574714"/>
    <x v="111"/>
    <s v="United Kingdom"/>
    <n v="15427"/>
    <n v="22197"/>
    <m/>
    <n v="4"/>
    <n v="0.85"/>
    <n v="3.4"/>
  </r>
  <r>
    <n v="574740"/>
    <x v="111"/>
    <s v="Switzerland"/>
    <n v="12357"/>
    <n v="22190"/>
    <m/>
    <n v="12"/>
    <n v="2.1"/>
    <n v="25.200000000000003"/>
  </r>
  <r>
    <n v="574740"/>
    <x v="111"/>
    <s v="Switzerland"/>
    <n v="12357"/>
    <n v="21116"/>
    <m/>
    <n v="16"/>
    <n v="4.25"/>
    <n v="68"/>
  </r>
  <r>
    <n v="575067"/>
    <x v="112"/>
    <s v="France"/>
    <n v="12583"/>
    <n v="22197"/>
    <m/>
    <n v="24"/>
    <n v="0.85"/>
    <n v="20.399999999999999"/>
  </r>
  <r>
    <n v="575331"/>
    <x v="113"/>
    <s v="United Kingdom"/>
    <n v="13209"/>
    <n v="22197"/>
    <m/>
    <n v="12"/>
    <n v="0.85"/>
    <n v="10.199999999999999"/>
  </r>
  <r>
    <n v="575507"/>
    <x v="114"/>
    <s v="United Kingdom"/>
    <n v="17197"/>
    <n v="21888"/>
    <m/>
    <n v="4"/>
    <n v="3.75"/>
    <n v="15"/>
  </r>
  <r>
    <n v="575514"/>
    <x v="114"/>
    <s v="Spain"/>
    <n v="12541"/>
    <n v="22197"/>
    <m/>
    <n v="24"/>
    <n v="0.85"/>
    <n v="20.399999999999999"/>
  </r>
  <r>
    <n v="575880"/>
    <x v="115"/>
    <s v="France"/>
    <n v="12726"/>
    <n v="21888"/>
    <m/>
    <n v="4"/>
    <n v="3.75"/>
    <n v="15"/>
  </r>
  <r>
    <n v="575886"/>
    <x v="115"/>
    <s v="Germany"/>
    <n v="12517"/>
    <n v="20713"/>
    <m/>
    <n v="3"/>
    <n v="2.08"/>
    <n v="6.24"/>
  </r>
  <r>
    <n v="576215"/>
    <x v="116"/>
    <s v="United Kingdom"/>
    <n v="17652"/>
    <n v="22197"/>
    <m/>
    <n v="24"/>
    <n v="0.85"/>
    <n v="20.399999999999999"/>
  </r>
  <r>
    <n v="576255"/>
    <x v="116"/>
    <s v="United Kingdom"/>
    <n v="15993"/>
    <n v="22197"/>
    <m/>
    <n v="10"/>
    <n v="0.85"/>
    <n v="8.5"/>
  </r>
  <r>
    <n v="576629"/>
    <x v="117"/>
    <s v="Germany"/>
    <n v="12621"/>
    <n v="62018"/>
    <m/>
    <n v="6"/>
    <n v="1.95"/>
    <n v="11.7"/>
  </r>
  <r>
    <n v="577033"/>
    <x v="118"/>
    <s v="United Kingdom"/>
    <n v="17797"/>
    <n v="22694"/>
    <m/>
    <n v="4"/>
    <n v="2.1"/>
    <n v="8.4"/>
  </r>
  <r>
    <n v="577046"/>
    <x v="118"/>
    <s v="Belgium"/>
    <n v="12449"/>
    <n v="22174"/>
    <m/>
    <n v="12"/>
    <n v="1.65"/>
    <n v="19.799999999999997"/>
  </r>
  <r>
    <n v="577121"/>
    <x v="118"/>
    <s v="France"/>
    <n v="12681"/>
    <n v="22197"/>
    <m/>
    <n v="12"/>
    <n v="0.85"/>
    <n v="10.199999999999999"/>
  </r>
  <r>
    <n v="577152"/>
    <x v="119"/>
    <s v="France"/>
    <n v="14277"/>
    <n v="22741"/>
    <m/>
    <n v="48"/>
    <n v="0.85"/>
    <n v="40.799999999999997"/>
  </r>
  <r>
    <n v="577314"/>
    <x v="119"/>
    <s v="Norway"/>
    <n v="12444"/>
    <n v="22694"/>
    <m/>
    <n v="6"/>
    <n v="2.1"/>
    <n v="12.600000000000001"/>
  </r>
  <r>
    <n v="577316"/>
    <x v="119"/>
    <s v="Italy"/>
    <n v="12578"/>
    <n v="21888"/>
    <m/>
    <n v="4"/>
    <n v="3.75"/>
    <n v="15"/>
  </r>
  <r>
    <n v="577476"/>
    <x v="120"/>
    <s v="Spain"/>
    <n v="12540"/>
    <n v="21116"/>
    <m/>
    <n v="6"/>
    <n v="4.95"/>
    <n v="29.700000000000003"/>
  </r>
  <r>
    <n v="577476"/>
    <x v="120"/>
    <s v="Spain"/>
    <n v="12540"/>
    <n v="22741"/>
    <m/>
    <n v="48"/>
    <n v="0.85"/>
    <n v="40.799999999999997"/>
  </r>
  <r>
    <n v="577938"/>
    <x v="121"/>
    <s v="United Kingdom"/>
    <n v="15525"/>
    <n v="22197"/>
    <m/>
    <n v="2"/>
    <n v="0.85"/>
    <n v="1.7"/>
  </r>
  <r>
    <n v="578108"/>
    <x v="122"/>
    <s v="Italy"/>
    <n v="14912"/>
    <n v="22197"/>
    <m/>
    <n v="100"/>
    <n v="0.72"/>
    <n v="72"/>
  </r>
  <r>
    <n v="578147"/>
    <x v="122"/>
    <s v="United Kingdom"/>
    <n v="12748"/>
    <n v="22197"/>
    <m/>
    <n v="4"/>
    <n v="0.85"/>
    <n v="3.4"/>
  </r>
  <r>
    <n v="578781"/>
    <x v="123"/>
    <s v="United Kingdom"/>
    <n v="15872"/>
    <n v="62018"/>
    <m/>
    <n v="1"/>
    <n v="1.95"/>
    <n v="1.95"/>
  </r>
  <r>
    <n v="578949"/>
    <x v="124"/>
    <s v="United Kingdom"/>
    <n v="14954"/>
    <n v="21260"/>
    <m/>
    <n v="1"/>
    <n v="3.25"/>
    <n v="3.25"/>
  </r>
  <r>
    <n v="579135"/>
    <x v="125"/>
    <s v="United Kingdom"/>
    <n v="18096"/>
    <n v="22197"/>
    <m/>
    <n v="20"/>
    <n v="0.85"/>
    <n v="17"/>
  </r>
  <r>
    <n v="579503"/>
    <x v="126"/>
    <s v="Spain"/>
    <n v="17097"/>
    <n v="20713"/>
    <m/>
    <n v="1"/>
    <n v="2.08"/>
    <n v="2.08"/>
  </r>
  <r>
    <n v="579692"/>
    <x v="127"/>
    <s v="Norway"/>
    <n v="12433"/>
    <n v="22197"/>
    <m/>
    <n v="100"/>
    <n v="0.72"/>
    <n v="72"/>
  </r>
  <r>
    <n v="580265"/>
    <x v="128"/>
    <s v="Finland"/>
    <n v="12587"/>
    <n v="20713"/>
    <m/>
    <n v="10"/>
    <n v="2.08"/>
    <n v="20.8"/>
  </r>
  <r>
    <n v="580998"/>
    <x v="129"/>
    <s v="United Kingdom"/>
    <n v="16987"/>
    <n v="22694"/>
    <m/>
    <n v="2"/>
    <n v="2.1"/>
    <n v="4.2"/>
  </r>
  <r>
    <n v="581246"/>
    <x v="130"/>
    <s v="United Kingdom"/>
    <n v="15453"/>
    <n v="22694"/>
    <m/>
    <n v="1"/>
    <n v="2.1"/>
    <n v="2.1"/>
  </r>
  <r>
    <n v="581253"/>
    <x v="130"/>
    <s v="United Kingdom"/>
    <n v="16891"/>
    <n v="22694"/>
    <m/>
    <n v="4"/>
    <n v="2.1"/>
    <n v="8.4"/>
  </r>
  <r>
    <n v="581412"/>
    <x v="130"/>
    <s v="United Kingdom"/>
    <n v="14415"/>
    <n v="20713"/>
    <m/>
    <n v="5"/>
    <n v="2.08"/>
    <n v="10.4"/>
  </r>
  <r>
    <n v="581476"/>
    <x v="131"/>
    <s v="Norway"/>
    <n v="12433"/>
    <n v="22197"/>
    <m/>
    <n v="100"/>
    <n v="0.72"/>
    <n v="72"/>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81">
  <r>
    <s v="Afghanistan"/>
    <x v="0"/>
    <n v="38041754"/>
    <n v="652230"/>
  </r>
  <r>
    <s v="Albania"/>
    <x v="1"/>
    <n v="2854191"/>
    <n v="28748"/>
  </r>
  <r>
    <s v="Algeria"/>
    <x v="2"/>
    <n v="43053054"/>
    <n v="2381741"/>
  </r>
  <r>
    <s v="Andorra"/>
    <x v="1"/>
    <n v="77142"/>
    <n v="468"/>
  </r>
  <r>
    <s v="Angola"/>
    <x v="3"/>
    <n v="31825295"/>
    <n v="1246700"/>
  </r>
  <r>
    <s v="Antigua and Barbuda"/>
    <x v="4"/>
    <n v="97118"/>
    <n v="442.6"/>
  </r>
  <r>
    <s v="Argentina"/>
    <x v="4"/>
    <n v="44938712"/>
    <n v="2780400"/>
  </r>
  <r>
    <s v="Armenia"/>
    <x v="1"/>
    <n v="2957731"/>
    <n v="29743"/>
  </r>
  <r>
    <s v="Australia"/>
    <x v="5"/>
    <n v="25364307"/>
    <n v="7741220"/>
  </r>
  <r>
    <s v="Austria"/>
    <x v="1"/>
    <n v="8877067"/>
    <n v="83871"/>
  </r>
  <r>
    <s v="Azerbaijan"/>
    <x v="1"/>
    <n v="10023318"/>
    <n v="86600"/>
  </r>
  <r>
    <s v="Bahrain"/>
    <x v="2"/>
    <n v="1641172"/>
    <n v="765.3"/>
  </r>
  <r>
    <s v="Bangladesh"/>
    <x v="0"/>
    <n v="163046161"/>
    <n v="148460"/>
  </r>
  <r>
    <s v="Belarus"/>
    <x v="1"/>
    <n v="9466856"/>
    <n v="207600"/>
  </r>
  <r>
    <s v="Belgium"/>
    <x v="1"/>
    <n v="11484055"/>
    <n v="30528"/>
  </r>
  <r>
    <s v="Belize"/>
    <x v="4"/>
    <n v="390353"/>
    <n v="22966"/>
  </r>
  <r>
    <s v="Benin"/>
    <x v="3"/>
    <n v="11801151"/>
    <n v="112622"/>
  </r>
  <r>
    <s v="Bhutan"/>
    <x v="0"/>
    <n v="763092"/>
    <n v="38394"/>
  </r>
  <r>
    <s v="Bolivia"/>
    <x v="4"/>
    <n v="11513100"/>
    <n v="1098581"/>
  </r>
  <r>
    <s v="Bosnia and Herzegovina"/>
    <x v="1"/>
    <n v="3301000"/>
    <n v="51197"/>
  </r>
  <r>
    <s v="Botswana"/>
    <x v="3"/>
    <n v="2303697"/>
    <n v="581730"/>
  </r>
  <r>
    <s v="Brazil"/>
    <x v="4"/>
    <n v="212559417"/>
    <n v="8515770"/>
  </r>
  <r>
    <s v="Brunei Darussalam"/>
    <x v="5"/>
    <n v="433285"/>
    <n v="5765"/>
  </r>
  <r>
    <s v="Bulgaria"/>
    <x v="1"/>
    <n v="6975761"/>
    <n v="110879"/>
  </r>
  <r>
    <s v="Burkina Faso"/>
    <x v="3"/>
    <n v="20321378"/>
    <n v="274200"/>
  </r>
  <r>
    <s v="Burundi"/>
    <x v="3"/>
    <n v="11530580"/>
    <n v="27830"/>
  </r>
  <r>
    <s v="Cabo Verde"/>
    <x v="3"/>
    <n v="549935"/>
    <n v="4033"/>
  </r>
  <r>
    <s v="Cambodia"/>
    <x v="5"/>
    <n v="16486542"/>
    <n v="181035"/>
  </r>
  <r>
    <s v="Cameroon"/>
    <x v="3"/>
    <n v="25876380"/>
    <n v="475440"/>
  </r>
  <r>
    <s v="Canada"/>
    <x v="6"/>
    <n v="37589262"/>
    <n v="9984670"/>
  </r>
  <r>
    <s v="Central African Republic"/>
    <x v="3"/>
    <n v="4745185"/>
    <n v="622984"/>
  </r>
  <r>
    <s v="Chad"/>
    <x v="3"/>
    <n v="15946876"/>
    <n v="1284000"/>
  </r>
  <r>
    <s v="Chile"/>
    <x v="4"/>
    <n v="18952038"/>
    <n v="756096.3"/>
  </r>
  <r>
    <s v="China"/>
    <x v="5"/>
    <n v="1397715000"/>
    <n v="9596960"/>
  </r>
  <r>
    <s v="Colombia"/>
    <x v="4"/>
    <n v="50339443"/>
    <n v="1138910"/>
  </r>
  <r>
    <s v="Comoros"/>
    <x v="3"/>
    <n v="850886"/>
    <n v="2235"/>
  </r>
  <r>
    <s v="Congo, Dem. Rep."/>
    <x v="3"/>
    <n v="86790567"/>
    <n v="2344858"/>
  </r>
  <r>
    <s v="Congo, Rep."/>
    <x v="3"/>
    <n v="5380508"/>
    <n v="342000"/>
  </r>
  <r>
    <s v="Costa Rica"/>
    <x v="4"/>
    <n v="5047561"/>
    <n v="51100"/>
  </r>
  <r>
    <s v="Cote d'Ivoire"/>
    <x v="3"/>
    <n v="25716544"/>
    <n v="322463"/>
  </r>
  <r>
    <s v="Croatia"/>
    <x v="1"/>
    <n v="4067500"/>
    <n v="56594"/>
  </r>
  <r>
    <s v="Cyprus"/>
    <x v="1"/>
    <n v="1198575"/>
    <n v="9251"/>
  </r>
  <r>
    <s v="Czech Republic"/>
    <x v="1"/>
    <n v="10669709"/>
    <n v="78867"/>
  </r>
  <r>
    <s v="Denmark"/>
    <x v="1"/>
    <n v="5818553"/>
    <n v="43094"/>
  </r>
  <r>
    <s v="Djibouti"/>
    <x v="2"/>
    <n v="973560"/>
    <n v="23200"/>
  </r>
  <r>
    <s v="Dominica"/>
    <x v="4"/>
    <n v="71808"/>
    <n v="751"/>
  </r>
  <r>
    <s v="Dominican Republic"/>
    <x v="4"/>
    <n v="10738958"/>
    <n v="48670"/>
  </r>
  <r>
    <s v="Ecuador"/>
    <x v="4"/>
    <n v="17373662"/>
    <n v="283561"/>
  </r>
  <r>
    <s v="Egypt, Arab Rep."/>
    <x v="2"/>
    <n v="100388073"/>
    <n v="1001450"/>
  </r>
  <r>
    <s v="El Salvador"/>
    <x v="4"/>
    <n v="6453553"/>
    <n v="21041"/>
  </r>
  <r>
    <s v="Equatorial Guinea"/>
    <x v="3"/>
    <n v="1355986"/>
    <n v="28051"/>
  </r>
  <r>
    <s v="Estonia"/>
    <x v="1"/>
    <n v="1326590"/>
    <n v="45228"/>
  </r>
  <r>
    <s v="Eswatini"/>
    <x v="3"/>
    <n v="1093238"/>
    <n v="17364"/>
  </r>
  <r>
    <s v="Ethiopia"/>
    <x v="3"/>
    <n v="112078730"/>
    <n v="1104300"/>
  </r>
  <r>
    <s v="Fiji"/>
    <x v="5"/>
    <n v="889953"/>
    <n v="18274"/>
  </r>
  <r>
    <s v="Finland"/>
    <x v="1"/>
    <n v="5520314"/>
    <n v="338145"/>
  </r>
  <r>
    <s v="France"/>
    <x v="1"/>
    <n v="67059887"/>
    <n v="643801"/>
  </r>
  <r>
    <s v="Gabon"/>
    <x v="3"/>
    <n v="2172579"/>
    <n v="267667"/>
  </r>
  <r>
    <s v="Gambia, The"/>
    <x v="3"/>
    <n v="2347706"/>
    <n v="11300"/>
  </r>
  <r>
    <s v="Georgia"/>
    <x v="1"/>
    <n v="3720382"/>
    <n v="69700"/>
  </r>
  <r>
    <s v="Germany"/>
    <x v="1"/>
    <n v="83132799"/>
    <n v="357022"/>
  </r>
  <r>
    <s v="Ghana"/>
    <x v="3"/>
    <n v="30417856"/>
    <n v="238533"/>
  </r>
  <r>
    <s v="Greece"/>
    <x v="1"/>
    <n v="10716322"/>
    <n v="131957"/>
  </r>
  <r>
    <s v="Grenada"/>
    <x v="4"/>
    <n v="112003"/>
    <n v="348.5"/>
  </r>
  <r>
    <s v="Guatemala"/>
    <x v="4"/>
    <n v="16604026"/>
    <n v="108889"/>
  </r>
  <r>
    <s v="Guinea"/>
    <x v="3"/>
    <n v="12771246"/>
    <n v="245857"/>
  </r>
  <r>
    <s v="Guinea-Bissau"/>
    <x v="3"/>
    <n v="1920922"/>
    <n v="36125"/>
  </r>
  <r>
    <s v="Guyana"/>
    <x v="4"/>
    <n v="782766"/>
    <n v="214969"/>
  </r>
  <r>
    <s v="Haiti"/>
    <x v="4"/>
    <n v="11263077"/>
    <n v="27750"/>
  </r>
  <r>
    <s v="Honduras"/>
    <x v="4"/>
    <n v="9746117"/>
    <n v="112090"/>
  </r>
  <r>
    <s v="Hong Kong SAR, China"/>
    <x v="5"/>
    <n v="7507400"/>
    <n v="1108"/>
  </r>
  <r>
    <s v="Hungary"/>
    <x v="1"/>
    <n v="9769949"/>
    <n v="93028"/>
  </r>
  <r>
    <s v="Iceland"/>
    <x v="1"/>
    <n v="361313"/>
    <n v="103000"/>
  </r>
  <r>
    <s v="India"/>
    <x v="0"/>
    <n v="1366417754"/>
    <n v="3287263"/>
  </r>
  <r>
    <s v="Indonesia"/>
    <x v="5"/>
    <n v="270625568"/>
    <n v="1904569"/>
  </r>
  <r>
    <s v="Iraq"/>
    <x v="2"/>
    <n v="39309783"/>
    <n v="438317"/>
  </r>
  <r>
    <s v="Ireland"/>
    <x v="1"/>
    <n v="4941444"/>
    <n v="70273"/>
  </r>
  <r>
    <s v="Israel"/>
    <x v="2"/>
    <n v="9053300"/>
    <n v="20770"/>
  </r>
  <r>
    <s v="Italy"/>
    <x v="1"/>
    <n v="60297396"/>
    <n v="301340"/>
  </r>
  <r>
    <s v="Jamaica"/>
    <x v="4"/>
    <n v="2948279"/>
    <n v="10991"/>
  </r>
  <r>
    <s v="Japan"/>
    <x v="5"/>
    <n v="126264931"/>
    <n v="377944"/>
  </r>
  <r>
    <s v="Jordan"/>
    <x v="2"/>
    <n v="10101694"/>
    <n v="89342"/>
  </r>
  <r>
    <s v="Kazakhstan"/>
    <x v="1"/>
    <n v="18513930"/>
    <n v="2724900"/>
  </r>
  <r>
    <s v="Kenya"/>
    <x v="3"/>
    <n v="52573973"/>
    <n v="580367"/>
  </r>
  <r>
    <s v="Kiribati"/>
    <x v="5"/>
    <n v="117606"/>
    <n v="811"/>
  </r>
  <r>
    <s v="Korea, Rep."/>
    <x v="5"/>
    <n v="51709098"/>
    <n v="99720"/>
  </r>
  <r>
    <s v="Kuwait"/>
    <x v="2"/>
    <n v="4207083"/>
    <n v="17818"/>
  </r>
  <r>
    <s v="Kyrgyz Republic"/>
    <x v="1"/>
    <n v="6456900"/>
    <n v="199951"/>
  </r>
  <r>
    <s v="Latvia"/>
    <x v="1"/>
    <n v="1912789"/>
    <n v="64589"/>
  </r>
  <r>
    <s v="Lebanon"/>
    <x v="2"/>
    <n v="6855713"/>
    <n v="10400"/>
  </r>
  <r>
    <s v="Lesotho"/>
    <x v="3"/>
    <n v="2125268"/>
    <n v="30355"/>
  </r>
  <r>
    <s v="Liberia"/>
    <x v="3"/>
    <n v="4937374"/>
    <n v="111369"/>
  </r>
  <r>
    <s v="Libya"/>
    <x v="2"/>
    <n v="6777452"/>
    <n v="1759540"/>
  </r>
  <r>
    <s v="Lithuania"/>
    <x v="1"/>
    <n v="2786844"/>
    <n v="65300"/>
  </r>
  <r>
    <s v="Luxembourg"/>
    <x v="1"/>
    <n v="619896"/>
    <n v="2586"/>
  </r>
  <r>
    <s v="Macao SAR, China"/>
    <x v="5"/>
    <n v="696100"/>
    <n v="28.2"/>
  </r>
  <r>
    <s v="Madagascar"/>
    <x v="3"/>
    <n v="26969307"/>
    <n v="587041"/>
  </r>
  <r>
    <s v="Malawi"/>
    <x v="3"/>
    <n v="18628747"/>
    <n v="118484"/>
  </r>
  <r>
    <s v="Malaysia"/>
    <x v="5"/>
    <n v="31949777"/>
    <n v="329847"/>
  </r>
  <r>
    <s v="Maldives"/>
    <x v="0"/>
    <n v="530953"/>
    <n v="298"/>
  </r>
  <r>
    <s v="Mali"/>
    <x v="3"/>
    <n v="19658031"/>
    <n v="1240192"/>
  </r>
  <r>
    <s v="Malta"/>
    <x v="2"/>
    <n v="502653"/>
    <n v="316"/>
  </r>
  <r>
    <s v="Marshall Islands"/>
    <x v="5"/>
    <n v="58791"/>
    <n v="181"/>
  </r>
  <r>
    <s v="Mauritania"/>
    <x v="3"/>
    <n v="4525696"/>
    <n v="1030700"/>
  </r>
  <r>
    <s v="Mauritius"/>
    <x v="3"/>
    <n v="1265711"/>
    <n v="2040"/>
  </r>
  <r>
    <s v="Mexico"/>
    <x v="4"/>
    <n v="127575529"/>
    <n v="1964375"/>
  </r>
  <r>
    <s v="Moldova"/>
    <x v="1"/>
    <n v="2657637"/>
    <n v="33851"/>
  </r>
  <r>
    <s v="Mongolia"/>
    <x v="5"/>
    <n v="3225167"/>
    <n v="1564116"/>
  </r>
  <r>
    <s v="Montenegro"/>
    <x v="1"/>
    <n v="622137"/>
    <n v="13812"/>
  </r>
  <r>
    <s v="Morocco"/>
    <x v="2"/>
    <n v="36471769"/>
    <n v="446550"/>
  </r>
  <r>
    <s v="Mozambique"/>
    <x v="3"/>
    <n v="30366036"/>
    <n v="799380"/>
  </r>
  <r>
    <s v="Myanmar"/>
    <x v="5"/>
    <n v="54045420"/>
    <n v="676578"/>
  </r>
  <r>
    <s v="Namibia"/>
    <x v="3"/>
    <n v="2494530"/>
    <n v="824292"/>
  </r>
  <r>
    <s v="Nepal"/>
    <x v="0"/>
    <n v="28608710"/>
    <n v="147181"/>
  </r>
  <r>
    <s v="Netherlands"/>
    <x v="1"/>
    <n v="17332850"/>
    <n v="41543"/>
  </r>
  <r>
    <s v="New Zealand"/>
    <x v="5"/>
    <n v="4699755"/>
    <n v="268838"/>
  </r>
  <r>
    <s v="Nicaragua"/>
    <x v="4"/>
    <n v="6545502"/>
    <n v="130370"/>
  </r>
  <r>
    <s v="Niger"/>
    <x v="3"/>
    <n v="23310715"/>
    <n v="1267000"/>
  </r>
  <r>
    <s v="Nigeria"/>
    <x v="3"/>
    <n v="200963599"/>
    <n v="923768"/>
  </r>
  <r>
    <s v="North Macedonia"/>
    <x v="1"/>
    <n v="2107158"/>
    <n v="25713"/>
  </r>
  <r>
    <s v="Norway"/>
    <x v="1"/>
    <n v="5347896"/>
    <n v="323802"/>
  </r>
  <r>
    <s v="Oman"/>
    <x v="2"/>
    <n v="4974986"/>
    <n v="309500"/>
  </r>
  <r>
    <s v="Pakistan"/>
    <x v="0"/>
    <n v="216565318"/>
    <n v="796095"/>
  </r>
  <r>
    <s v="Palau"/>
    <x v="5"/>
    <n v="18008"/>
    <n v="459"/>
  </r>
  <r>
    <s v="Panama"/>
    <x v="4"/>
    <n v="4246439"/>
    <n v="75420"/>
  </r>
  <r>
    <s v="Papua New Guinea"/>
    <x v="5"/>
    <n v="8776109"/>
    <n v="462840"/>
  </r>
  <r>
    <s v="Paraguay"/>
    <x v="4"/>
    <n v="7044636"/>
    <n v="406752"/>
  </r>
  <r>
    <s v="Peru"/>
    <x v="4"/>
    <n v="32510453"/>
    <n v="1285216"/>
  </r>
  <r>
    <s v="Philippines"/>
    <x v="5"/>
    <n v="108116615"/>
    <n v="300000"/>
  </r>
  <r>
    <s v="Poland"/>
    <x v="1"/>
    <n v="37970874"/>
    <n v="312685"/>
  </r>
  <r>
    <s v="Portugal"/>
    <x v="1"/>
    <n v="10269417"/>
    <n v="92212"/>
  </r>
  <r>
    <s v="Puerto Rico"/>
    <x v="4"/>
    <n v="3193694"/>
    <n v="13791"/>
  </r>
  <r>
    <s v="Qatar"/>
    <x v="2"/>
    <n v="2832067"/>
    <n v="11586"/>
  </r>
  <r>
    <s v="Romania"/>
    <x v="1"/>
    <n v="19356544"/>
    <n v="238391"/>
  </r>
  <r>
    <s v="Russian Federation"/>
    <x v="1"/>
    <n v="144373535"/>
    <n v="17098240"/>
  </r>
  <r>
    <s v="Rwanda"/>
    <x v="3"/>
    <n v="12626950"/>
    <n v="26338"/>
  </r>
  <r>
    <s v="Samoa"/>
    <x v="5"/>
    <n v="202506"/>
    <n v="2831"/>
  </r>
  <r>
    <s v="Sao Tome and Principe"/>
    <x v="3"/>
    <n v="215056"/>
    <n v="964"/>
  </r>
  <r>
    <s v="Saudi Arabia"/>
    <x v="2"/>
    <n v="34268528"/>
    <n v="2149690"/>
  </r>
  <r>
    <s v="Senegal"/>
    <x v="3"/>
    <n v="16296364"/>
    <n v="196722"/>
  </r>
  <r>
    <s v="Serbia"/>
    <x v="1"/>
    <n v="6944975"/>
    <n v="77474"/>
  </r>
  <r>
    <s v="Seychelles"/>
    <x v="3"/>
    <n v="97625"/>
    <n v="455"/>
  </r>
  <r>
    <s v="Sierra Leone"/>
    <x v="3"/>
    <n v="7813215"/>
    <n v="71740"/>
  </r>
  <r>
    <s v="Singapore"/>
    <x v="5"/>
    <n v="5703569"/>
    <n v="716.1"/>
  </r>
  <r>
    <s v="Slovak Republic"/>
    <x v="1"/>
    <n v="5454073"/>
    <n v="49035"/>
  </r>
  <r>
    <s v="Slovenia"/>
    <x v="1"/>
    <n v="2087946"/>
    <n v="20273"/>
  </r>
  <r>
    <s v="Solomon Islands"/>
    <x v="5"/>
    <n v="669823"/>
    <n v="28896"/>
  </r>
  <r>
    <s v="Somalia"/>
    <x v="3"/>
    <n v="15442905"/>
    <n v="637657"/>
  </r>
  <r>
    <s v="South Africa"/>
    <x v="3"/>
    <n v="58558270"/>
    <n v="1219090"/>
  </r>
  <r>
    <s v="Spain"/>
    <x v="1"/>
    <n v="47076781"/>
    <n v="505370"/>
  </r>
  <r>
    <s v="Sri Lanka"/>
    <x v="0"/>
    <n v="21803000"/>
    <n v="65610"/>
  </r>
  <r>
    <s v="St. Kitts and Nevis"/>
    <x v="4"/>
    <n v="52823"/>
    <n v="261"/>
  </r>
  <r>
    <s v="St. Lucia"/>
    <x v="4"/>
    <n v="182790"/>
    <n v="616"/>
  </r>
  <r>
    <s v="St. Vincent and the Grenadines"/>
    <x v="4"/>
    <n v="110589"/>
    <n v="389"/>
  </r>
  <r>
    <s v="Suriname"/>
    <x v="4"/>
    <n v="581372"/>
    <n v="163820"/>
  </r>
  <r>
    <s v="Sweden"/>
    <x v="1"/>
    <n v="10285453"/>
    <n v="450295"/>
  </r>
  <r>
    <s v="Switzerland"/>
    <x v="1"/>
    <n v="8574832"/>
    <n v="41277"/>
  </r>
  <r>
    <s v="Tajikistan"/>
    <x v="1"/>
    <n v="9321018"/>
    <n v="144100"/>
  </r>
  <r>
    <s v="Tanzania"/>
    <x v="3"/>
    <n v="58005463"/>
    <n v="947300"/>
  </r>
  <r>
    <s v="Thailand"/>
    <x v="5"/>
    <n v="69625582"/>
    <n v="513120"/>
  </r>
  <r>
    <s v="Timor-Leste"/>
    <x v="5"/>
    <n v="3500000"/>
    <n v="14874"/>
  </r>
  <r>
    <s v="Togo"/>
    <x v="3"/>
    <n v="8082366"/>
    <n v="56785"/>
  </r>
  <r>
    <s v="Tonga"/>
    <x v="5"/>
    <n v="104494"/>
    <n v="747"/>
  </r>
  <r>
    <s v="Trinidad and Tobago"/>
    <x v="4"/>
    <n v="1394973"/>
    <n v="5128"/>
  </r>
  <r>
    <s v="Tunisia"/>
    <x v="2"/>
    <n v="11694719"/>
    <n v="163610"/>
  </r>
  <r>
    <s v="Turkey"/>
    <x v="1"/>
    <n v="83429615"/>
    <n v="783562"/>
  </r>
  <r>
    <s v="Turkmenistan"/>
    <x v="1"/>
    <n v="5942089"/>
    <n v="488100"/>
  </r>
  <r>
    <s v="Turks and Caicos Islands"/>
    <x v="4"/>
    <n v="42953"/>
    <n v="948"/>
  </r>
  <r>
    <s v="Tuvalu"/>
    <x v="5"/>
    <n v="11646"/>
    <n v="26"/>
  </r>
  <r>
    <s v="Uganda"/>
    <x v="3"/>
    <n v="44269594"/>
    <n v="241038"/>
  </r>
  <r>
    <s v="Ukraine"/>
    <x v="1"/>
    <n v="44385155"/>
    <n v="603550"/>
  </r>
  <r>
    <s v="United Arab Emirates"/>
    <x v="2"/>
    <n v="9770529"/>
    <n v="83600"/>
  </r>
  <r>
    <s v="United Kingdom"/>
    <x v="1"/>
    <n v="66834405"/>
    <n v="243610"/>
  </r>
  <r>
    <s v="United States"/>
    <x v="6"/>
    <n v="328239523"/>
    <n v="9833517"/>
  </r>
  <r>
    <s v="Uruguay"/>
    <x v="4"/>
    <n v="3461734"/>
    <n v="176215"/>
  </r>
  <r>
    <s v="Uzbekistan"/>
    <x v="1"/>
    <n v="33580650"/>
    <n v="447400"/>
  </r>
  <r>
    <s v="Vanuatu"/>
    <x v="5"/>
    <n v="299882"/>
    <n v="12189"/>
  </r>
  <r>
    <s v="Vietnam"/>
    <x v="5"/>
    <n v="96462106"/>
    <n v="331210"/>
  </r>
  <r>
    <s v="Yemen, Rep."/>
    <x v="2"/>
    <n v="29161922"/>
    <n v="527968"/>
  </r>
  <r>
    <s v="Zambia"/>
    <x v="3"/>
    <n v="17861030"/>
    <n v="752618"/>
  </r>
  <r>
    <s v="Zimbabwe"/>
    <x v="3"/>
    <n v="14645468"/>
    <n v="390757"/>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9">
  <r>
    <d v="2020-01-01T00:00:00"/>
    <d v="1899-12-30T02:24:00"/>
    <s v="Bronx"/>
    <x v="0"/>
    <s v="Taxi"/>
    <n v="3"/>
  </r>
  <r>
    <d v="2020-01-03T00:00:00"/>
    <d v="1899-12-30T05:20:00"/>
    <s v="Manhattan"/>
    <x v="0"/>
    <s v="Pick-up Truck"/>
    <n v="1"/>
  </r>
  <r>
    <d v="2020-01-04T00:00:00"/>
    <d v="1899-12-30T04:42:00"/>
    <s v="Manhattan"/>
    <x v="0"/>
    <s v="Sedan"/>
    <n v="0"/>
  </r>
  <r>
    <d v="2020-01-05T00:00:00"/>
    <d v="1899-12-30T06:48:00"/>
    <s v="Bronx"/>
    <x v="1"/>
    <s v="Sedan"/>
    <n v="2"/>
  </r>
  <r>
    <d v="2020-01-05T00:00:00"/>
    <d v="1899-12-30T08:00:00"/>
    <s v="Queens"/>
    <x v="2"/>
    <s v="Taxi"/>
    <n v="0"/>
  </r>
  <r>
    <d v="2020-01-05T00:00:00"/>
    <d v="1899-12-30T17:05:00"/>
    <s v="Manhattan"/>
    <x v="3"/>
    <s v="Sedan"/>
    <n v="0"/>
  </r>
  <r>
    <d v="2020-01-07T00:00:00"/>
    <d v="1899-12-30T21:00:00"/>
    <s v="Brooklyn"/>
    <x v="4"/>
    <s v="Sedan"/>
    <n v="0"/>
  </r>
  <r>
    <d v="2020-01-08T00:00:00"/>
    <d v="1899-12-30T18:00:00"/>
    <s v="Brooklyn"/>
    <x v="0"/>
    <s v="Sedan"/>
    <n v="0"/>
  </r>
  <r>
    <d v="2020-01-08T00:00:00"/>
    <d v="1899-12-30T22:39:00"/>
    <s v="Bronx"/>
    <x v="3"/>
    <s v="Sedan"/>
    <n v="0"/>
  </r>
  <r>
    <d v="2020-01-09T00:00:00"/>
    <d v="1899-12-30T00:02:00"/>
    <s v="Manhattan"/>
    <x v="1"/>
    <s v="Sedan"/>
    <n v="1"/>
  </r>
  <r>
    <d v="2020-01-09T00:00:00"/>
    <d v="1899-12-30T14:00:00"/>
    <s v="Manhattan"/>
    <x v="0"/>
    <s v="Bike"/>
    <n v="0"/>
  </r>
  <r>
    <d v="2020-01-10T00:00:00"/>
    <d v="1899-12-30T13:10:00"/>
    <s v="Manhattan"/>
    <x v="5"/>
    <s v="Van"/>
    <n v="0"/>
  </r>
  <r>
    <d v="2020-01-10T00:00:00"/>
    <d v="1899-12-30T20:25:00"/>
    <s v="Queens"/>
    <x v="0"/>
    <s v="Bike"/>
    <n v="1"/>
  </r>
  <r>
    <d v="2020-01-10T00:00:00"/>
    <d v="1899-12-30T20:31:00"/>
    <s v="Manhattan"/>
    <x v="0"/>
    <s v="Taxi"/>
    <n v="0"/>
  </r>
  <r>
    <d v="2020-01-10T00:00:00"/>
    <d v="1899-12-30T23:36:00"/>
    <s v="Brooklyn"/>
    <x v="0"/>
    <s v="Sedan"/>
    <n v="0"/>
  </r>
  <r>
    <d v="2020-01-11T00:00:00"/>
    <d v="1899-12-30T11:20:00"/>
    <s v="Queens"/>
    <x v="0"/>
    <s v="Taxi"/>
    <n v="1"/>
  </r>
  <r>
    <d v="2020-01-12T00:00:00"/>
    <d v="1899-12-30T17:05:00"/>
    <s v="Manhattan"/>
    <x v="0"/>
    <s v="Sedan"/>
    <n v="0"/>
  </r>
  <r>
    <d v="2020-01-12T00:00:00"/>
    <d v="1899-12-30T19:00:00"/>
    <s v="Queens"/>
    <x v="0"/>
    <s v="Sedan"/>
    <n v="0"/>
  </r>
  <r>
    <d v="2020-01-13T00:00:00"/>
    <d v="1899-12-30T01:40:00"/>
    <s v="Queens"/>
    <x v="6"/>
    <s v="Taxi"/>
    <n v="1"/>
  </r>
  <r>
    <d v="2020-01-14T00:00:00"/>
    <d v="1899-12-30T07:20:00"/>
    <s v="Bronx"/>
    <x v="3"/>
    <s v="Sedan"/>
    <n v="0"/>
  </r>
  <r>
    <d v="2020-01-14T00:00:00"/>
    <d v="1899-12-30T13:49:00"/>
    <s v="Queens"/>
    <x v="5"/>
    <s v="Sedan"/>
    <n v="0"/>
  </r>
  <r>
    <d v="2020-01-15T00:00:00"/>
    <d v="1899-12-30T19:32:00"/>
    <s v="Manhattan"/>
    <x v="5"/>
    <s v="E-Bike"/>
    <n v="1"/>
  </r>
  <r>
    <d v="2020-01-15T00:00:00"/>
    <d v="1899-12-30T19:45:00"/>
    <s v="Queens"/>
    <x v="0"/>
    <s v="Sedan"/>
    <n v="1"/>
  </r>
  <r>
    <d v="2020-01-16T00:00:00"/>
    <d v="1899-12-30T11:15:00"/>
    <s v="Queens"/>
    <x v="3"/>
    <s v="Sedan"/>
    <n v="0"/>
  </r>
  <r>
    <d v="2020-01-16T00:00:00"/>
    <d v="1899-12-30T12:35:00"/>
    <s v="Manhattan"/>
    <x v="0"/>
    <s v="Sedan"/>
    <n v="0"/>
  </r>
  <r>
    <d v="2020-01-16T00:00:00"/>
    <d v="1899-12-30T15:29:00"/>
    <s v="Bronx"/>
    <x v="7"/>
    <s v="Sedan"/>
    <n v="0"/>
  </r>
  <r>
    <d v="2020-01-19T00:00:00"/>
    <d v="1899-12-30T05:07:00"/>
    <s v="Bronx"/>
    <x v="3"/>
    <s v="Taxi"/>
    <n v="0"/>
  </r>
  <r>
    <d v="2020-01-19T00:00:00"/>
    <d v="1899-12-30T15:30:00"/>
    <s v="Manhattan"/>
    <x v="0"/>
    <s v="Sedan"/>
    <n v="0"/>
  </r>
  <r>
    <d v="2020-01-21T00:00:00"/>
    <d v="1899-12-30T11:30:00"/>
    <s v="Manhattan"/>
    <x v="0"/>
    <s v="Bike"/>
    <n v="0"/>
  </r>
  <r>
    <d v="2020-01-22T00:00:00"/>
    <d v="1899-12-30T04:30:00"/>
    <s v="Manhattan"/>
    <x v="3"/>
    <s v="Sedan"/>
    <n v="0"/>
  </r>
  <r>
    <d v="2020-01-22T00:00:00"/>
    <d v="1899-12-30T18:25:00"/>
    <s v="Manhattan"/>
    <x v="0"/>
    <s v="Taxi"/>
    <n v="0"/>
  </r>
  <r>
    <d v="2020-01-22T00:00:00"/>
    <d v="1899-12-30T19:42:00"/>
    <s v="Manhattan"/>
    <x v="0"/>
    <s v="Sedan"/>
    <n v="0"/>
  </r>
  <r>
    <d v="2020-01-23T00:00:00"/>
    <d v="1899-12-30T08:22:00"/>
    <s v="Manhattan"/>
    <x v="0"/>
    <s v="Sedan"/>
    <n v="0"/>
  </r>
  <r>
    <d v="2020-01-24T00:00:00"/>
    <d v="1899-12-30T22:10:00"/>
    <s v="Manhattan"/>
    <x v="0"/>
    <s v="Taxi"/>
    <n v="0"/>
  </r>
  <r>
    <d v="2020-01-24T00:00:00"/>
    <d v="1899-12-30T23:55:00"/>
    <s v="Manhattan"/>
    <x v="4"/>
    <s v="Sedan"/>
    <n v="0"/>
  </r>
  <r>
    <d v="2020-01-25T00:00:00"/>
    <d v="1899-12-30T16:39:00"/>
    <s v="Bronx"/>
    <x v="3"/>
    <s v="Taxi"/>
    <n v="0"/>
  </r>
  <r>
    <d v="2020-01-27T00:00:00"/>
    <d v="1899-12-30T15:50:00"/>
    <s v="Manhattan"/>
    <x v="0"/>
    <s v="Bike"/>
    <n v="1"/>
  </r>
  <r>
    <d v="2020-01-28T00:00:00"/>
    <d v="1899-12-30T08:10:00"/>
    <s v="Manhattan"/>
    <x v="8"/>
    <s v="Pick-up Truck"/>
    <n v="0"/>
  </r>
  <r>
    <d v="2020-01-28T00:00:00"/>
    <d v="1899-12-30T18:41:00"/>
    <s v="Manhattan"/>
    <x v="0"/>
    <s v="Taxi"/>
    <n v="0"/>
  </r>
  <r>
    <d v="2020-01-29T00:00:00"/>
    <d v="1899-12-30T19:35:00"/>
    <s v="Manhattan"/>
    <x v="0"/>
    <s v="Box Truck"/>
    <n v="0"/>
  </r>
  <r>
    <d v="2020-02-01T00:00:00"/>
    <d v="1899-12-30T00:24:00"/>
    <s v="Brooklyn"/>
    <x v="0"/>
    <s v="Taxi"/>
    <n v="1"/>
  </r>
  <r>
    <d v="2020-02-01T00:00:00"/>
    <d v="1899-12-30T09:55:00"/>
    <s v="Manhattan"/>
    <x v="0"/>
    <s v="Taxi"/>
    <n v="0"/>
  </r>
  <r>
    <d v="2020-02-02T00:00:00"/>
    <d v="1899-12-30T02:00:00"/>
    <s v="Manhattan"/>
    <x v="4"/>
    <s v="Taxi"/>
    <n v="0"/>
  </r>
  <r>
    <d v="2020-02-02T00:00:00"/>
    <d v="1899-12-30T14:30:00"/>
    <s v="Manhattan"/>
    <x v="8"/>
    <s v="Taxi"/>
    <n v="0"/>
  </r>
  <r>
    <d v="2020-02-02T00:00:00"/>
    <d v="1899-12-30T16:16:00"/>
    <s v="Manhattan"/>
    <x v="0"/>
    <s v="Sedan"/>
    <n v="0"/>
  </r>
  <r>
    <d v="2020-02-03T00:00:00"/>
    <d v="1899-12-30T23:33:00"/>
    <s v="Queens"/>
    <x v="0"/>
    <s v="Sedan"/>
    <n v="0"/>
  </r>
  <r>
    <d v="2020-02-04T00:00:00"/>
    <d v="1899-12-30T18:20:00"/>
    <s v="Manhattan"/>
    <x v="6"/>
    <s v="Bus"/>
    <n v="0"/>
  </r>
  <r>
    <d v="2020-02-05T00:00:00"/>
    <d v="1899-12-30T09:30:00"/>
    <s v="Bronx"/>
    <x v="9"/>
    <s v="Taxi"/>
    <n v="1"/>
  </r>
  <r>
    <d v="2020-02-06T00:00:00"/>
    <d v="1899-12-30T12:00:00"/>
    <s v="Manhattan"/>
    <x v="0"/>
    <s v="Sedan"/>
    <n v="0"/>
  </r>
  <r>
    <d v="2020-02-06T00:00:00"/>
    <d v="1899-12-30T18:06:00"/>
    <s v="Bronx"/>
    <x v="0"/>
    <s v="Taxi"/>
    <n v="0"/>
  </r>
  <r>
    <d v="2020-02-06T00:00:00"/>
    <d v="1899-12-30T20:55:00"/>
    <s v="Manhattan"/>
    <x v="0"/>
    <s v="Bike"/>
    <n v="1"/>
  </r>
  <r>
    <d v="2020-02-06T00:00:00"/>
    <d v="1899-12-30T23:30:00"/>
    <s v="Manhattan"/>
    <x v="5"/>
    <s v="Sedan"/>
    <n v="0"/>
  </r>
  <r>
    <d v="2020-02-07T00:00:00"/>
    <d v="1899-12-30T13:12:00"/>
    <s v="Manhattan"/>
    <x v="0"/>
    <s v="Sedan"/>
    <n v="0"/>
  </r>
  <r>
    <d v="2020-02-07T00:00:00"/>
    <d v="1899-12-30T19:45:00"/>
    <s v="Manhattan"/>
    <x v="3"/>
    <s v="Taxi"/>
    <n v="0"/>
  </r>
  <r>
    <d v="2020-02-08T00:00:00"/>
    <d v="1899-12-30T17:20:00"/>
    <s v="Bronx"/>
    <x v="10"/>
    <s v="Bike"/>
    <n v="1"/>
  </r>
  <r>
    <d v="2020-02-09T00:00:00"/>
    <d v="1899-12-30T01:15:00"/>
    <s v="Manhattan"/>
    <x v="5"/>
    <s v="Taxi"/>
    <n v="0"/>
  </r>
  <r>
    <d v="2020-02-09T00:00:00"/>
    <d v="1899-12-30T14:55:00"/>
    <s v="Brooklyn"/>
    <x v="0"/>
    <s v="Taxi"/>
    <n v="0"/>
  </r>
  <r>
    <d v="2020-02-10T00:00:00"/>
    <d v="1899-12-30T01:10:00"/>
    <s v="Manhattan"/>
    <x v="0"/>
    <s v="Taxi"/>
    <n v="0"/>
  </r>
  <r>
    <d v="2020-02-10T00:00:00"/>
    <d v="1899-12-30T09:00:00"/>
    <s v="Bronx"/>
    <x v="3"/>
    <s v="Taxi"/>
    <n v="0"/>
  </r>
  <r>
    <d v="2020-02-12T00:00:00"/>
    <d v="1899-12-30T10:47:00"/>
    <s v="Manhattan"/>
    <x v="0"/>
    <s v="Taxi"/>
    <n v="0"/>
  </r>
  <r>
    <d v="2020-02-12T00:00:00"/>
    <d v="1899-12-30T21:16:00"/>
    <s v="Manhattan"/>
    <x v="0"/>
    <s v="Pick-up Truck"/>
    <n v="0"/>
  </r>
  <r>
    <d v="2020-02-13T00:00:00"/>
    <d v="1899-12-30T15:10:00"/>
    <s v="Manhattan"/>
    <x v="4"/>
    <s v="Taxi"/>
    <n v="0"/>
  </r>
  <r>
    <d v="2020-02-13T00:00:00"/>
    <d v="1899-12-30T20:02:00"/>
    <s v="Manhattan"/>
    <x v="0"/>
    <s v="Sedan"/>
    <n v="2"/>
  </r>
  <r>
    <d v="2020-02-14T00:00:00"/>
    <d v="1899-12-30T11:53:00"/>
    <s v="Manhattan"/>
    <x v="11"/>
    <s v="Taxi"/>
    <n v="0"/>
  </r>
  <r>
    <d v="2020-02-14T00:00:00"/>
    <d v="1899-12-30T15:45:00"/>
    <s v="Queens"/>
    <x v="0"/>
    <s v="Sedan"/>
    <n v="0"/>
  </r>
  <r>
    <d v="2020-02-15T00:00:00"/>
    <d v="1899-12-30T00:47:00"/>
    <s v="Manhattan"/>
    <x v="4"/>
    <s v="Taxi"/>
    <n v="0"/>
  </r>
  <r>
    <d v="2020-02-15T00:00:00"/>
    <d v="1899-12-30T13:46:00"/>
    <s v="Brooklyn"/>
    <x v="5"/>
    <s v="Sedan"/>
    <n v="0"/>
  </r>
  <r>
    <d v="2020-02-19T00:00:00"/>
    <d v="1899-12-30T00:00:00"/>
    <s v="Manhattan"/>
    <x v="4"/>
    <s v="Bike"/>
    <n v="0"/>
  </r>
  <r>
    <d v="2020-02-19T00:00:00"/>
    <d v="1899-12-30T12:30:00"/>
    <s v="Brooklyn"/>
    <x v="3"/>
    <s v="Sedan"/>
    <n v="0"/>
  </r>
  <r>
    <d v="2020-02-19T00:00:00"/>
    <d v="1899-12-30T16:55:00"/>
    <s v="Queens"/>
    <x v="0"/>
    <s v="Sedan"/>
    <n v="0"/>
  </r>
  <r>
    <d v="2020-02-22T00:00:00"/>
    <d v="1899-12-30T21:29:00"/>
    <s v="Manhattan"/>
    <x v="3"/>
    <s v="Sedan"/>
    <n v="0"/>
  </r>
  <r>
    <d v="2020-02-24T00:00:00"/>
    <d v="1899-12-30T11:41:00"/>
    <s v="Manhattan"/>
    <x v="11"/>
    <s v="Sedan"/>
    <n v="0"/>
  </r>
  <r>
    <d v="2020-02-25T00:00:00"/>
    <d v="1899-12-30T11:39:00"/>
    <s v="Queens"/>
    <x v="0"/>
    <s v="Taxi"/>
    <n v="0"/>
  </r>
  <r>
    <d v="2020-02-26T00:00:00"/>
    <d v="1899-12-30T08:50:00"/>
    <s v="Manhattan"/>
    <x v="0"/>
    <s v="Sedan"/>
    <n v="0"/>
  </r>
  <r>
    <d v="2020-02-26T00:00:00"/>
    <d v="1899-12-30T10:30:00"/>
    <s v="Manhattan"/>
    <x v="5"/>
    <s v="Pick-up Truck"/>
    <n v="0"/>
  </r>
  <r>
    <d v="2020-02-27T00:00:00"/>
    <d v="1899-12-30T10:15:00"/>
    <s v="Manhattan"/>
    <x v="0"/>
    <s v="Sedan"/>
    <n v="0"/>
  </r>
  <r>
    <d v="2020-02-27T00:00:00"/>
    <d v="1899-12-30T21:30:00"/>
    <s v="Manhattan"/>
    <x v="3"/>
    <s v="Taxi"/>
    <n v="0"/>
  </r>
  <r>
    <d v="2020-02-28T00:00:00"/>
    <d v="1899-12-30T12:41:00"/>
    <s v="Bronx"/>
    <x v="0"/>
    <s v="Sedan"/>
    <n v="0"/>
  </r>
  <r>
    <d v="2020-02-28T00:00:00"/>
    <d v="1899-12-30T17:30:00"/>
    <s v="Manhattan"/>
    <x v="3"/>
    <s v="Taxi"/>
    <n v="0"/>
  </r>
  <r>
    <d v="2020-02-28T00:00:00"/>
    <d v="1899-12-30T20:00:00"/>
    <s v="Queens"/>
    <x v="0"/>
    <s v="Sedan"/>
    <n v="0"/>
  </r>
  <r>
    <d v="2020-02-29T00:00:00"/>
    <d v="1899-12-30T02:10:00"/>
    <s v="Brooklyn"/>
    <x v="0"/>
    <s v="Sedan"/>
    <n v="0"/>
  </r>
  <r>
    <d v="2020-02-29T00:00:00"/>
    <d v="1899-12-30T15:53:00"/>
    <s v="Manhattan"/>
    <x v="0"/>
    <s v="Bike"/>
    <n v="0"/>
  </r>
  <r>
    <d v="2020-02-29T00:00:00"/>
    <d v="1899-12-30T23:10:00"/>
    <s v="Manhattan"/>
    <x v="0"/>
    <s v="Taxi"/>
    <n v="0"/>
  </r>
  <r>
    <d v="2020-03-01T00:00:00"/>
    <d v="1899-12-30T01:54:00"/>
    <s v="Manhattan"/>
    <x v="0"/>
    <s v="Sedan"/>
    <n v="0"/>
  </r>
  <r>
    <d v="2020-03-01T00:00:00"/>
    <d v="1899-12-30T19:18:00"/>
    <s v="Bronx"/>
    <x v="5"/>
    <s v="Pick-up Truck"/>
    <n v="0"/>
  </r>
  <r>
    <d v="2020-03-01T00:00:00"/>
    <d v="1899-12-30T20:10:00"/>
    <s v="Queens"/>
    <x v="4"/>
    <s v="Sedan"/>
    <n v="0"/>
  </r>
  <r>
    <d v="2020-03-01T00:00:00"/>
    <d v="1899-12-30T22:00:00"/>
    <s v="Manhattan"/>
    <x v="0"/>
    <s v="Taxi"/>
    <n v="0"/>
  </r>
  <r>
    <d v="2020-03-02T00:00:00"/>
    <d v="1899-12-30T11:31:00"/>
    <s v="Manhattan"/>
    <x v="0"/>
    <s v="Sedan"/>
    <n v="0"/>
  </r>
  <r>
    <d v="2020-03-02T00:00:00"/>
    <d v="1899-12-30T12:00:00"/>
    <s v="Manhattan"/>
    <x v="12"/>
    <s v="Van"/>
    <n v="0"/>
  </r>
  <r>
    <d v="2020-03-02T00:00:00"/>
    <d v="1899-12-30T14:50:00"/>
    <s v="Manhattan"/>
    <x v="3"/>
    <s v="Taxi"/>
    <n v="0"/>
  </r>
  <r>
    <d v="2020-03-03T00:00:00"/>
    <d v="1899-12-30T08:40:00"/>
    <s v="Brooklyn"/>
    <x v="13"/>
    <s v="Sedan"/>
    <n v="0"/>
  </r>
  <r>
    <d v="2020-03-03T00:00:00"/>
    <d v="1899-12-30T20:25:00"/>
    <s v="Manhattan"/>
    <x v="0"/>
    <s v="Taxi"/>
    <n v="0"/>
  </r>
  <r>
    <d v="2020-03-04T00:00:00"/>
    <d v="1899-12-30T00:05:00"/>
    <s v="Queens"/>
    <x v="2"/>
    <s v="Bus"/>
    <n v="0"/>
  </r>
  <r>
    <d v="2020-03-05T00:00:00"/>
    <d v="1899-12-30T11:30:00"/>
    <s v="Manhattan"/>
    <x v="4"/>
    <s v="Bus"/>
    <n v="0"/>
  </r>
  <r>
    <d v="2020-03-06T00:00:00"/>
    <d v="1899-12-30T00:32:00"/>
    <s v="Manhattan"/>
    <x v="10"/>
    <s v="Taxi"/>
    <n v="0"/>
  </r>
  <r>
    <d v="2020-03-06T00:00:00"/>
    <d v="1899-12-30T02:21:00"/>
    <s v="Manhattan"/>
    <x v="14"/>
    <s v="Box Truck"/>
    <n v="0"/>
  </r>
  <r>
    <d v="2020-03-06T00:00:00"/>
    <d v="1899-12-30T21:10:00"/>
    <s v="Queens"/>
    <x v="0"/>
    <s v="Sedan"/>
    <n v="1"/>
  </r>
  <r>
    <d v="2020-03-06T00:00:00"/>
    <d v="1899-12-30T21:35:00"/>
    <s v="Manhattan"/>
    <x v="15"/>
    <s v="Sedan"/>
    <n v="0"/>
  </r>
  <r>
    <d v="2020-03-07T00:00:00"/>
    <d v="1899-12-30T13:51:00"/>
    <s v="Manhattan"/>
    <x v="2"/>
    <s v="Sedan"/>
    <n v="0"/>
  </r>
  <r>
    <d v="2020-03-08T00:00:00"/>
    <d v="1899-12-30T03:34:00"/>
    <s v="Manhattan"/>
    <x v="3"/>
    <s v="Taxi"/>
    <n v="0"/>
  </r>
  <r>
    <d v="2020-03-08T00:00:00"/>
    <d v="1899-12-30T05:22:00"/>
    <s v="Queens"/>
    <x v="4"/>
    <s v="Sedan"/>
    <n v="0"/>
  </r>
  <r>
    <d v="2020-03-08T00:00:00"/>
    <d v="1899-12-30T20:00:00"/>
    <s v="Manhattan"/>
    <x v="13"/>
    <s v="Taxi"/>
    <n v="0"/>
  </r>
  <r>
    <d v="2020-03-08T00:00:00"/>
    <d v="1899-12-30T21:50:00"/>
    <s v="Manhattan"/>
    <x v="0"/>
    <s v="Sedan"/>
    <n v="0"/>
  </r>
  <r>
    <d v="2020-03-09T00:00:00"/>
    <d v="1899-12-30T00:29:00"/>
    <s v="Manhattan"/>
    <x v="0"/>
    <s v="Sedan"/>
    <n v="1"/>
  </r>
  <r>
    <d v="2020-03-09T00:00:00"/>
    <d v="1899-12-30T17:48:00"/>
    <s v="Bronx"/>
    <x v="5"/>
    <s v="Sedan"/>
    <n v="0"/>
  </r>
  <r>
    <d v="2020-03-10T00:00:00"/>
    <d v="1899-12-30T18:46:00"/>
    <s v="Manhattan"/>
    <x v="4"/>
    <s v="Sedan"/>
    <n v="0"/>
  </r>
  <r>
    <d v="2020-03-11T00:00:00"/>
    <d v="1899-12-30T12:44:00"/>
    <s v="Manhattan"/>
    <x v="7"/>
    <s v="Sedan"/>
    <n v="0"/>
  </r>
  <r>
    <d v="2020-03-11T00:00:00"/>
    <d v="1899-12-30T16:25:00"/>
    <s v="Manhattan"/>
    <x v="0"/>
    <s v="Sedan"/>
    <n v="0"/>
  </r>
  <r>
    <d v="2020-03-11T00:00:00"/>
    <d v="1899-12-30T17:00:00"/>
    <s v="Manhattan"/>
    <x v="3"/>
    <s v="Sedan"/>
    <n v="2"/>
  </r>
  <r>
    <d v="2020-03-11T00:00:00"/>
    <d v="1899-12-30T22:20:00"/>
    <s v="Manhattan"/>
    <x v="0"/>
    <s v="Bike"/>
    <n v="1"/>
  </r>
  <r>
    <d v="2020-03-12T00:00:00"/>
    <d v="1899-12-30T13:40:00"/>
    <s v="Bronx"/>
    <x v="0"/>
    <s v="Sedan"/>
    <n v="0"/>
  </r>
  <r>
    <d v="2020-03-12T00:00:00"/>
    <d v="1899-12-30T23:56:00"/>
    <s v="Manhattan"/>
    <x v="0"/>
    <s v="Taxi"/>
    <n v="0"/>
  </r>
  <r>
    <d v="2020-03-13T00:00:00"/>
    <d v="1899-12-30T17:18:00"/>
    <s v="Manhattan"/>
    <x v="0"/>
    <s v="Taxi"/>
    <n v="0"/>
  </r>
  <r>
    <d v="2020-03-13T00:00:00"/>
    <d v="1899-12-30T18:35:00"/>
    <s v="Manhattan"/>
    <x v="6"/>
    <s v="Bike"/>
    <n v="1"/>
  </r>
  <r>
    <d v="2020-03-14T00:00:00"/>
    <d v="1899-12-30T10:40:00"/>
    <s v="Brooklyn"/>
    <x v="16"/>
    <s v="Pick-up Truck"/>
    <n v="0"/>
  </r>
  <r>
    <d v="2020-03-14T00:00:00"/>
    <d v="1899-12-30T22:17:00"/>
    <s v="Bronx"/>
    <x v="0"/>
    <s v="E-Bike"/>
    <n v="2"/>
  </r>
  <r>
    <d v="2020-03-15T00:00:00"/>
    <d v="1899-12-30T16:40:00"/>
    <s v="Queens"/>
    <x v="0"/>
    <s v="Sedan"/>
    <n v="0"/>
  </r>
  <r>
    <d v="2020-03-16T00:00:00"/>
    <d v="1899-12-30T00:44:00"/>
    <s v="Manhattan"/>
    <x v="0"/>
    <s v="Box Truck"/>
    <n v="0"/>
  </r>
  <r>
    <d v="2020-03-20T00:00:00"/>
    <d v="1899-12-30T00:00:00"/>
    <s v="Manhattan"/>
    <x v="8"/>
    <s v="Bike"/>
    <n v="1"/>
  </r>
  <r>
    <d v="2020-03-20T00:00:00"/>
    <d v="1899-12-30T08:50:00"/>
    <s v="Manhattan"/>
    <x v="0"/>
    <s v="Sedan"/>
    <n v="1"/>
  </r>
  <r>
    <d v="2020-03-21T00:00:00"/>
    <d v="1899-12-30T15:40:00"/>
    <s v="Manhattan"/>
    <x v="11"/>
    <s v="Bus"/>
    <n v="0"/>
  </r>
  <r>
    <d v="2020-03-21T00:00:00"/>
    <d v="1899-12-30T21:00:00"/>
    <s v="Bronx"/>
    <x v="0"/>
    <s v="Sedan"/>
    <n v="0"/>
  </r>
  <r>
    <d v="2020-03-22T00:00:00"/>
    <d v="1899-12-30T09:20:00"/>
    <s v="Bronx"/>
    <x v="3"/>
    <s v="Sedan"/>
    <n v="1"/>
  </r>
  <r>
    <d v="2020-03-27T00:00:00"/>
    <d v="1899-12-30T17:37:00"/>
    <s v="Manhattan"/>
    <x v="0"/>
    <s v="E-Bike"/>
    <n v="0"/>
  </r>
  <r>
    <d v="2020-03-28T00:00:00"/>
    <d v="1899-12-30T15:00:00"/>
    <s v="Brooklyn"/>
    <x v="0"/>
    <s v="Sedan"/>
    <n v="0"/>
  </r>
  <r>
    <d v="2020-03-28T00:00:00"/>
    <d v="1899-12-30T22:20:00"/>
    <s v="Manhattan"/>
    <x v="9"/>
    <s v="Taxi"/>
    <n v="0"/>
  </r>
  <r>
    <d v="2020-04-14T00:00:00"/>
    <d v="1899-12-30T20:30:00"/>
    <s v="Brooklyn"/>
    <x v="0"/>
    <s v="Bike"/>
    <n v="1"/>
  </r>
  <r>
    <d v="2020-04-16T00:00:00"/>
    <d v="1899-12-30T12:25:00"/>
    <s v="Bronx"/>
    <x v="17"/>
    <s v="E-Scooter"/>
    <n v="1"/>
  </r>
  <r>
    <d v="2020-04-30T00:00:00"/>
    <d v="1899-12-30T06:29:00"/>
    <s v="Manhattan"/>
    <x v="0"/>
    <s v="Taxi"/>
    <n v="0"/>
  </r>
  <r>
    <d v="2020-05-02T00:00:00"/>
    <d v="1899-12-30T14:47:00"/>
    <s v="Manhattan"/>
    <x v="0"/>
    <s v="Bike"/>
    <n v="1"/>
  </r>
  <r>
    <d v="2020-05-13T00:00:00"/>
    <d v="1899-12-30T21:30:00"/>
    <s v="Bronx"/>
    <x v="3"/>
    <s v="Sedan"/>
    <n v="3"/>
  </r>
  <r>
    <d v="2020-05-13T00:00:00"/>
    <d v="1899-12-30T22:38:00"/>
    <s v="Brooklyn"/>
    <x v="5"/>
    <s v="Sedan"/>
    <n v="0"/>
  </r>
  <r>
    <d v="2020-05-16T00:00:00"/>
    <d v="1899-12-30T17:00:00"/>
    <s v="Bronx"/>
    <x v="10"/>
    <s v="Bike"/>
    <n v="1"/>
  </r>
  <r>
    <d v="2020-05-18T00:00:00"/>
    <d v="1899-12-30T15:41:00"/>
    <s v="Bronx"/>
    <x v="15"/>
    <s v="Sedan"/>
    <n v="0"/>
  </r>
  <r>
    <d v="2020-05-20T00:00:00"/>
    <d v="1899-12-30T03:43:00"/>
    <s v="Brooklyn"/>
    <x v="2"/>
    <s v="Dump"/>
    <n v="0"/>
  </r>
  <r>
    <d v="2020-05-22T00:00:00"/>
    <d v="1899-12-30T23:56:00"/>
    <s v="Brooklyn"/>
    <x v="0"/>
    <s v="Sedan"/>
    <n v="1"/>
  </r>
  <r>
    <d v="2020-05-23T00:00:00"/>
    <d v="1899-12-30T17:30:00"/>
    <s v="Queens"/>
    <x v="13"/>
    <s v="Sedan"/>
    <n v="0"/>
  </r>
  <r>
    <d v="2020-05-25T00:00:00"/>
    <d v="1899-12-30T18:55:00"/>
    <s v="Bronx"/>
    <x v="3"/>
    <s v="Sedan"/>
    <n v="0"/>
  </r>
  <r>
    <d v="2020-05-31T00:00:00"/>
    <d v="1899-12-30T00:45:00"/>
    <s v="Queens"/>
    <x v="3"/>
    <s v="Sedan"/>
    <n v="0"/>
  </r>
  <r>
    <d v="2020-05-31T00:00:00"/>
    <d v="1899-12-30T02:19:00"/>
    <s v="Brooklyn"/>
    <x v="3"/>
    <s v="Sedan"/>
    <n v="2"/>
  </r>
  <r>
    <d v="2020-06-13T00:00:00"/>
    <d v="1899-12-30T21:05:00"/>
    <s v="Manhattan"/>
    <x v="10"/>
    <s v="Bike"/>
    <n v="1"/>
  </r>
  <r>
    <d v="2020-06-16T00:00:00"/>
    <d v="1899-12-30T22:15:00"/>
    <s v="Manhattan"/>
    <x v="5"/>
    <s v="Sedan"/>
    <n v="2"/>
  </r>
  <r>
    <d v="2020-06-25T00:00:00"/>
    <d v="1899-12-30T03:37:00"/>
    <s v="Manhattan"/>
    <x v="0"/>
    <s v="Bike"/>
    <n v="1"/>
  </r>
  <r>
    <d v="2020-06-25T00:00:00"/>
    <d v="1899-12-30T21:47:00"/>
    <s v="Manhattan"/>
    <x v="0"/>
    <s v="Sedan"/>
    <n v="1"/>
  </r>
  <r>
    <d v="2020-07-01T00:00:00"/>
    <d v="1899-12-30T01:35:00"/>
    <s v="Manhattan"/>
    <x v="1"/>
    <s v="Sedan"/>
    <n v="2"/>
  </r>
  <r>
    <d v="2020-07-04T00:00:00"/>
    <d v="1899-12-30T17:08:00"/>
    <s v="Bronx"/>
    <x v="0"/>
    <s v="E-Bike"/>
    <n v="1"/>
  </r>
  <r>
    <d v="2020-07-09T00:00:00"/>
    <d v="1899-12-30T13:20:00"/>
    <s v="Brooklyn"/>
    <x v="11"/>
    <s v="Sedan"/>
    <n v="2"/>
  </r>
  <r>
    <d v="2020-07-09T00:00:00"/>
    <d v="1899-12-30T22:08:00"/>
    <s v="Manhattan"/>
    <x v="0"/>
    <s v="Sedan"/>
    <n v="5"/>
  </r>
  <r>
    <d v="2020-07-11T00:00:00"/>
    <d v="1899-12-30T22:19:00"/>
    <s v="Manhattan"/>
    <x v="10"/>
    <s v="Bike"/>
    <n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400-000000000000}" name="PivotTable1" cacheId="0" applyNumberFormats="0" applyBorderFormats="0" applyFontFormats="0" applyPatternFormats="0" applyAlignmentFormats="0" applyWidthHeightFormats="1" dataCaption="Values" updatedVersion="6" minRefreshableVersion="3" useAutoFormatting="1" itemPrintTitles="1" createdVersion="6" indent="0" compact="0" outline="1" outlineData="1" compactData="0" multipleFieldFilters="0" chartFormat="7">
  <location ref="A1:B14" firstHeaderRow="1" firstDataRow="1" firstDataCol="1"/>
  <pivotFields count="10">
    <pivotField compact="0" showAll="0"/>
    <pivotField compact="0" numFmtId="166"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compact="0" showAll="0"/>
    <pivotField compact="0" showAll="0"/>
    <pivotField compact="0" showAll="0"/>
    <pivotField compact="0" showAll="0"/>
    <pivotField compact="0" showAll="0"/>
    <pivotField compact="0" numFmtId="167" showAll="0"/>
    <pivotField dataField="1" compact="0" numFmtId="167" showAll="0"/>
    <pivotField axis="axisRow" compact="0" showAll="0">
      <items count="15">
        <item sd="0" x="0"/>
        <item sd="0" x="1"/>
        <item sd="0" x="2"/>
        <item sd="0" x="3"/>
        <item sd="0" x="4"/>
        <item sd="0" x="5"/>
        <item sd="0" x="6"/>
        <item sd="0" x="7"/>
        <item sd="0" x="8"/>
        <item sd="0" x="9"/>
        <item sd="0" x="10"/>
        <item sd="0" x="11"/>
        <item sd="0" x="12"/>
        <item sd="0" x="13"/>
        <item t="default"/>
      </items>
    </pivotField>
  </pivotFields>
  <rowFields count="1">
    <field x="9"/>
  </rowFields>
  <rowItems count="13">
    <i>
      <x v="1"/>
    </i>
    <i>
      <x v="2"/>
    </i>
    <i>
      <x v="3"/>
    </i>
    <i>
      <x v="4"/>
    </i>
    <i>
      <x v="5"/>
    </i>
    <i>
      <x v="6"/>
    </i>
    <i>
      <x v="7"/>
    </i>
    <i>
      <x v="8"/>
    </i>
    <i>
      <x v="9"/>
    </i>
    <i>
      <x v="10"/>
    </i>
    <i>
      <x v="11"/>
    </i>
    <i>
      <x v="12"/>
    </i>
    <i t="grand">
      <x/>
    </i>
  </rowItems>
  <colItems count="1">
    <i/>
  </colItems>
  <dataFields count="1">
    <dataField name="Sum of Revenue" fld="8" baseField="0" baseItem="0" numFmtId="169"/>
  </dataFields>
  <chartFormats count="1">
    <chartFormat chart="4"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4068319-9CCF-427F-9241-7208F63F3690}" name="PivotTable2" cacheId="7" applyNumberFormats="0" applyBorderFormats="0" applyFontFormats="0" applyPatternFormats="0" applyAlignmentFormats="0" applyWidthHeightFormats="1" dataCaption="Values" updatedVersion="8" minRefreshableVersion="3" useAutoFormatting="1" itemPrintTitles="1" createdVersion="6" indent="0" compact="0" outline="1" outlineData="1" compactData="0" multipleFieldFilters="0">
  <location ref="A3:D11" firstHeaderRow="0" firstDataRow="1" firstDataCol="1"/>
  <pivotFields count="5">
    <pivotField compact="0" showAll="0"/>
    <pivotField axis="axisRow" compact="0" showAll="0" sortType="descending">
      <items count="8">
        <item x="5"/>
        <item x="1"/>
        <item x="4"/>
        <item x="2"/>
        <item x="6"/>
        <item x="0"/>
        <item x="3"/>
        <item t="default"/>
      </items>
      <autoSortScope>
        <pivotArea dataOnly="0" outline="0" fieldPosition="0">
          <references count="1">
            <reference field="4294967294" count="1" selected="0">
              <x v="0"/>
            </reference>
          </references>
        </pivotArea>
      </autoSortScope>
    </pivotField>
    <pivotField dataField="1" compact="0" numFmtId="3" showAll="0"/>
    <pivotField dataField="1" compact="0" numFmtId="3" showAll="0"/>
    <pivotField dataField="1" compact="0" dragToRow="0" dragToCol="0" dragToPage="0" showAll="0" defaultSubtotal="0"/>
  </pivotFields>
  <rowFields count="1">
    <field x="1"/>
  </rowFields>
  <rowItems count="8">
    <i>
      <x/>
    </i>
    <i>
      <x v="5"/>
    </i>
    <i>
      <x v="6"/>
    </i>
    <i>
      <x v="1"/>
    </i>
    <i>
      <x v="2"/>
    </i>
    <i>
      <x v="4"/>
    </i>
    <i>
      <x v="3"/>
    </i>
    <i t="grand">
      <x/>
    </i>
  </rowItems>
  <colFields count="1">
    <field x="-2"/>
  </colFields>
  <colItems count="3">
    <i>
      <x/>
    </i>
    <i i="1">
      <x v="1"/>
    </i>
    <i i="2">
      <x v="2"/>
    </i>
  </colItems>
  <dataFields count="3">
    <dataField name="Sum of Population" fld="2" baseField="0" baseItem="0" numFmtId="3"/>
    <dataField name="Sum of Area" fld="3" baseField="0" baseItem="0" numFmtId="3"/>
    <dataField name="Sum of Population Density       " fld="4" baseField="0"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4560AC7-C100-45DE-B936-375296B5EDC8}" name="PivotTable11" cacheId="2" applyNumberFormats="0" applyBorderFormats="0" applyFontFormats="0" applyPatternFormats="0" applyAlignmentFormats="0" applyWidthHeightFormats="1" dataCaption="Values" updatedVersion="8" minRefreshableVersion="3" useAutoFormatting="1" itemPrintTitles="1" createdVersion="6" indent="0" compact="0" outline="1" outlineData="1" compactData="0" multipleFieldFilters="0">
  <location ref="A3:B22" firstHeaderRow="1" firstDataRow="1" firstDataCol="1"/>
  <pivotFields count="6">
    <pivotField compact="0" numFmtId="166" showAll="0"/>
    <pivotField compact="0" numFmtId="170" showAll="0"/>
    <pivotField compact="0" showAll="0"/>
    <pivotField axis="axisRow" compact="0" showAll="0" sortType="descending">
      <items count="19">
        <item x="16"/>
        <item x="15"/>
        <item x="0"/>
        <item x="6"/>
        <item x="8"/>
        <item x="11"/>
        <item x="3"/>
        <item x="14"/>
        <item x="12"/>
        <item x="4"/>
        <item x="2"/>
        <item x="10"/>
        <item x="13"/>
        <item x="1"/>
        <item x="9"/>
        <item x="5"/>
        <item x="7"/>
        <item x="17"/>
        <item t="default"/>
      </items>
      <autoSortScope>
        <pivotArea dataOnly="0" outline="0" fieldPosition="0">
          <references count="1">
            <reference field="4294967294" count="1" selected="0">
              <x v="0"/>
            </reference>
          </references>
        </pivotArea>
      </autoSortScope>
    </pivotField>
    <pivotField compact="0" showAll="0"/>
    <pivotField dataField="1" compact="0" showAll="0"/>
  </pivotFields>
  <rowFields count="1">
    <field x="3"/>
  </rowFields>
  <rowItems count="19">
    <i>
      <x v="2"/>
    </i>
    <i>
      <x v="6"/>
    </i>
    <i>
      <x v="13"/>
    </i>
    <i>
      <x v="11"/>
    </i>
    <i>
      <x v="15"/>
    </i>
    <i>
      <x v="5"/>
    </i>
    <i>
      <x v="3"/>
    </i>
    <i>
      <x v="4"/>
    </i>
    <i>
      <x v="14"/>
    </i>
    <i>
      <x v="17"/>
    </i>
    <i>
      <x v="10"/>
    </i>
    <i>
      <x v="12"/>
    </i>
    <i>
      <x v="1"/>
    </i>
    <i>
      <x v="9"/>
    </i>
    <i>
      <x v="16"/>
    </i>
    <i>
      <x v="7"/>
    </i>
    <i>
      <x/>
    </i>
    <i>
      <x v="8"/>
    </i>
    <i t="grand">
      <x/>
    </i>
  </rowItems>
  <colItems count="1">
    <i/>
  </colItems>
  <dataFields count="1">
    <dataField name="Sum of # of Persons Injured" fld="5" showDataAs="percentOfCo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48BBE5F-ECE8-4F34-99F9-EB46F8EDEF64}" name="Orders" displayName="Orders" ref="A1:I201" totalsRowShown="0" headerRowDxfId="29">
  <tableColumns count="9">
    <tableColumn id="1" xr3:uid="{253DEC1F-2114-42D1-9400-718FDA8B2D69}" name="Order #" dataDxfId="28"/>
    <tableColumn id="2" xr3:uid="{3249B105-5C02-4571-B3DB-EDA39EFB7002}" name="Order Date" dataDxfId="27"/>
    <tableColumn id="3" xr3:uid="{2F3D3C83-F599-4AD6-BAF9-20FA1181D535}" name="Country"/>
    <tableColumn id="4" xr3:uid="{F029C4F8-1E85-4C9C-A395-EC8D88AAB8D6}" name="Client ID" dataDxfId="26"/>
    <tableColumn id="5" xr3:uid="{8819422A-EA97-44E3-BDAD-5AE2CA8C94FF}" name="Product ID" dataDxfId="25"/>
    <tableColumn id="6" xr3:uid="{A4197599-9FAC-4CDD-84C4-74EF858EAC34}" name="Product Name" dataDxfId="6">
      <calculatedColumnFormula>VLOOKUP(Orders[[#This Row],[Product ID]],Products[],2,0)</calculatedColumnFormula>
    </tableColumn>
    <tableColumn id="7" xr3:uid="{BD7625F2-896F-4E9E-92FC-C15CA1876863}" name="Quantity" dataDxfId="24"/>
    <tableColumn id="8" xr3:uid="{39FB4A89-48B9-4C24-8193-1D3CBAF8ECE3}" name="Unit Price" dataDxfId="23"/>
    <tableColumn id="9" xr3:uid="{12D49EA0-508E-4705-9567-F9C502883F9D}" name="Revenue" dataDxfId="22"/>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B33576D-BC45-433F-92C0-1303B33DC064}" name="Products" displayName="Products" ref="A1:B15" totalsRowShown="0" headerRowDxfId="21">
  <tableColumns count="2">
    <tableColumn id="1" xr3:uid="{C474EA5F-C83B-4834-B50F-5A975D97C746}" name="Product ID" dataDxfId="20"/>
    <tableColumn id="2" xr3:uid="{BAEA2952-1E49-42E6-80BC-BA56A13A8113}" name="Product Name"/>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5BE63AE-B112-4D33-8570-B2BEE4487560}" name="Countries" displayName="Countries" ref="A1:B15" totalsRowShown="0" headerRowDxfId="19">
  <tableColumns count="2">
    <tableColumn id="1" xr3:uid="{2FA72F14-FDA2-4370-89A0-E48FE1726282}" name="Country"/>
    <tableColumn id="2" xr3:uid="{D19A61EF-F1A2-4838-AB70-E53821484D86}" name="Orders" dataDxfId="18"/>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D557C25-6F33-4F5D-B9FB-913AECF9A28A}" name="PricePerOunce" displayName="PricePerOunce" ref="A1:G31" totalsRowShown="0" headerRowDxfId="17" dataDxfId="16">
  <tableColumns count="7">
    <tableColumn id="1" xr3:uid="{CB6B1193-531E-435A-95F3-92180CA20C25}" name="Team"/>
    <tableColumn id="2" xr3:uid="{D7A04607-F18B-4258-BD5A-E3DE6A39DC4D}" name="2013" dataDxfId="15"/>
    <tableColumn id="3" xr3:uid="{4C4C6E51-5069-4273-8A10-972DCFFB86CE}" name="2014" dataDxfId="14"/>
    <tableColumn id="4" xr3:uid="{C0B1B17B-D4E8-4197-BC82-63C519D40983}" name="2015" dataDxfId="13"/>
    <tableColumn id="5" xr3:uid="{9DD8C667-C884-4FFD-976B-EA42DA175676}" name="2016" dataDxfId="12"/>
    <tableColumn id="6" xr3:uid="{159094D7-662A-481F-828D-E033B7D87902}" name="2018" dataDxfId="11"/>
    <tableColumn id="7" xr3:uid="{159125B0-AD3F-4CB6-A91C-0460390447D1}" name="Change" dataDxfId="5">
      <calculatedColumnFormula>IF(PricePerOunce[[#This Row],[2018]]=PricePerOunce[[#This Row],[2013]],"None",IF(OR(PricePerOunce[[#This Row],[2018]]&gt;PricePerOunce[[#This Row],[2016]],PricePerOunce[[#This Row],[2018]]&gt;AVERAGE(PricePerOunce[[#This Row],[2013]:[2016]])),"Increase","Decrease"))</calculatedColumnFormula>
    </tableColumn>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6455AE1B-8B90-484B-B3B2-E098B0A0400A}" name="Indicators" displayName="Indicators" ref="A1:D182" totalsRowShown="0" headerRowDxfId="10">
  <tableColumns count="4">
    <tableColumn id="1" xr3:uid="{F0E34CBA-BB15-4CCE-90F3-F4802FDF3939}" name="Country" dataDxfId="9"/>
    <tableColumn id="2" xr3:uid="{5D17D228-9A18-4BBF-9C16-B497D7A6553F}" name="Region"/>
    <tableColumn id="5" xr3:uid="{30CFD427-ECCC-45D7-AE78-484F4B8FEFC9}" name="Population" dataDxfId="8"/>
    <tableColumn id="6" xr3:uid="{5506DAA7-FE51-40FB-98E3-449FB3B50206}" name="Area" dataDxfId="7"/>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2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C3BED2-E873-4914-9525-5880DC245935}">
  <sheetPr codeName="Sheet1">
    <tabColor theme="3"/>
  </sheetPr>
  <dimension ref="A1"/>
  <sheetViews>
    <sheetView showGridLines="0" workbookViewId="0"/>
  </sheetViews>
  <sheetFormatPr defaultRowHeight="14.4" x14ac:dyDescent="0.3"/>
  <cols>
    <col min="1" max="1" width="2.88671875" customWidth="1"/>
  </cols>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3" tint="0.59999389629810485"/>
  </sheetPr>
  <dimension ref="A1:L201"/>
  <sheetViews>
    <sheetView workbookViewId="0">
      <selection activeCell="L3" sqref="L3"/>
    </sheetView>
  </sheetViews>
  <sheetFormatPr defaultRowHeight="14.4" x14ac:dyDescent="0.3"/>
  <cols>
    <col min="1" max="1" width="9.44140625" customWidth="1"/>
    <col min="2" max="2" width="14.33203125" customWidth="1"/>
    <col min="3" max="3" width="17.109375" customWidth="1"/>
    <col min="4" max="4" width="11.44140625" bestFit="1" customWidth="1"/>
    <col min="5" max="5" width="12.33203125" customWidth="1"/>
    <col min="6" max="6" width="18.5546875" customWidth="1"/>
    <col min="7" max="9" width="11.44140625" customWidth="1"/>
    <col min="11" max="11" width="17.109375" customWidth="1"/>
    <col min="12" max="12" width="11.44140625" customWidth="1"/>
  </cols>
  <sheetData>
    <row r="1" spans="1:12" x14ac:dyDescent="0.3">
      <c r="A1" s="3" t="s">
        <v>42</v>
      </c>
      <c r="B1" s="3" t="s">
        <v>16</v>
      </c>
      <c r="C1" s="3" t="s">
        <v>0</v>
      </c>
      <c r="D1" s="3" t="s">
        <v>21</v>
      </c>
      <c r="E1" s="3" t="s">
        <v>17</v>
      </c>
      <c r="F1" s="3" t="s">
        <v>18</v>
      </c>
      <c r="G1" s="3" t="s">
        <v>1</v>
      </c>
      <c r="H1" s="3" t="s">
        <v>19</v>
      </c>
      <c r="I1" s="3" t="s">
        <v>20</v>
      </c>
      <c r="K1" s="12" t="s">
        <v>0</v>
      </c>
      <c r="L1" s="13" t="s">
        <v>22</v>
      </c>
    </row>
    <row r="2" spans="1:12" x14ac:dyDescent="0.3">
      <c r="A2" s="1">
        <v>540546</v>
      </c>
      <c r="B2" s="2">
        <v>43474</v>
      </c>
      <c r="C2" t="s">
        <v>9</v>
      </c>
      <c r="D2" s="1">
        <v>12766</v>
      </c>
      <c r="E2" s="1">
        <v>22740</v>
      </c>
      <c r="F2" t="str">
        <f>VLOOKUP(Orders[[#This Row],[Product ID]],Products[],2,0)</f>
        <v>Polkadot Pen</v>
      </c>
      <c r="G2" s="1">
        <v>48</v>
      </c>
      <c r="H2" s="19">
        <v>0.85</v>
      </c>
      <c r="I2" s="19">
        <v>40.799999999999997</v>
      </c>
      <c r="K2" s="42" t="s">
        <v>2</v>
      </c>
      <c r="L2" s="14">
        <f>COUNTIFS(Orders[Country],K2,Orders[Revenue],"&gt;=100")</f>
        <v>3</v>
      </c>
    </row>
    <row r="3" spans="1:12" x14ac:dyDescent="0.3">
      <c r="A3" s="1">
        <v>541115</v>
      </c>
      <c r="B3" s="2">
        <v>43478</v>
      </c>
      <c r="C3" t="s">
        <v>10</v>
      </c>
      <c r="D3" s="1">
        <v>12578</v>
      </c>
      <c r="E3" s="1">
        <v>21260</v>
      </c>
      <c r="F3" t="str">
        <f>VLOOKUP(Orders[[#This Row],[Product ID]],Products[],2,0)</f>
        <v>First Aid Tin</v>
      </c>
      <c r="G3" s="1">
        <v>6</v>
      </c>
      <c r="H3" s="19">
        <v>3.25</v>
      </c>
      <c r="I3" s="19">
        <v>19.5</v>
      </c>
    </row>
    <row r="4" spans="1:12" x14ac:dyDescent="0.3">
      <c r="A4" s="1">
        <v>541115</v>
      </c>
      <c r="B4" s="2">
        <v>43478</v>
      </c>
      <c r="C4" t="s">
        <v>10</v>
      </c>
      <c r="D4" s="1">
        <v>12578</v>
      </c>
      <c r="E4" s="1">
        <v>22190</v>
      </c>
      <c r="F4" t="str">
        <f>VLOOKUP(Orders[[#This Row],[Product ID]],Products[],2,0)</f>
        <v>Local Cafe Mug</v>
      </c>
      <c r="G4" s="1">
        <v>12</v>
      </c>
      <c r="H4" s="19">
        <v>2.1</v>
      </c>
      <c r="I4" s="19">
        <v>25.200000000000003</v>
      </c>
    </row>
    <row r="5" spans="1:12" x14ac:dyDescent="0.3">
      <c r="A5" s="1">
        <v>541224</v>
      </c>
      <c r="B5" s="2">
        <v>43479</v>
      </c>
      <c r="C5" t="s">
        <v>5</v>
      </c>
      <c r="D5" s="1">
        <v>12474</v>
      </c>
      <c r="E5" s="1">
        <v>21025</v>
      </c>
      <c r="F5" t="str">
        <f>VLOOKUP(Orders[[#This Row],[Product ID]],Products[],2,0)</f>
        <v>Space Frog</v>
      </c>
      <c r="G5" s="1">
        <v>10</v>
      </c>
      <c r="H5" s="19">
        <v>1.25</v>
      </c>
      <c r="I5" s="19">
        <v>12.5</v>
      </c>
    </row>
    <row r="6" spans="1:12" x14ac:dyDescent="0.3">
      <c r="A6" s="1">
        <v>541269</v>
      </c>
      <c r="B6" s="2">
        <v>43482</v>
      </c>
      <c r="C6" t="s">
        <v>5</v>
      </c>
      <c r="D6" s="1">
        <v>12626</v>
      </c>
      <c r="E6" s="1">
        <v>22174</v>
      </c>
      <c r="F6" t="str">
        <f>VLOOKUP(Orders[[#This Row],[Product ID]],Products[],2,0)</f>
        <v>Photo Cube</v>
      </c>
      <c r="G6" s="1">
        <v>12</v>
      </c>
      <c r="H6" s="19">
        <v>1.65</v>
      </c>
      <c r="I6" s="19">
        <v>19.799999999999997</v>
      </c>
    </row>
    <row r="7" spans="1:12" x14ac:dyDescent="0.3">
      <c r="A7" s="1">
        <v>541509</v>
      </c>
      <c r="B7" s="2">
        <v>43483</v>
      </c>
      <c r="C7" t="s">
        <v>2</v>
      </c>
      <c r="D7" s="1">
        <v>13263</v>
      </c>
      <c r="E7" s="1">
        <v>22694</v>
      </c>
      <c r="F7" t="str">
        <f>VLOOKUP(Orders[[#This Row],[Product ID]],Products[],2,0)</f>
        <v xml:space="preserve">Wicker Star </v>
      </c>
      <c r="G7" s="1">
        <v>1</v>
      </c>
      <c r="H7" s="19">
        <v>2.1</v>
      </c>
      <c r="I7" s="19">
        <v>2.1</v>
      </c>
    </row>
    <row r="8" spans="1:12" x14ac:dyDescent="0.3">
      <c r="A8" s="1">
        <v>541631</v>
      </c>
      <c r="B8" s="2">
        <v>43485</v>
      </c>
      <c r="C8" t="s">
        <v>3</v>
      </c>
      <c r="D8" s="1">
        <v>12637</v>
      </c>
      <c r="E8" s="1">
        <v>22174</v>
      </c>
      <c r="F8" t="str">
        <f>VLOOKUP(Orders[[#This Row],[Product ID]],Products[],2,0)</f>
        <v>Photo Cube</v>
      </c>
      <c r="G8" s="1">
        <v>12</v>
      </c>
      <c r="H8" s="19">
        <v>1.65</v>
      </c>
      <c r="I8" s="19">
        <v>19.799999999999997</v>
      </c>
    </row>
    <row r="9" spans="1:12" x14ac:dyDescent="0.3">
      <c r="A9" s="1">
        <v>541711</v>
      </c>
      <c r="B9" s="2">
        <v>43486</v>
      </c>
      <c r="C9" t="s">
        <v>4</v>
      </c>
      <c r="D9" s="1">
        <v>14646</v>
      </c>
      <c r="E9" s="1">
        <v>22653</v>
      </c>
      <c r="F9" t="str">
        <f>VLOOKUP(Orders[[#This Row],[Product ID]],Products[],2,0)</f>
        <v xml:space="preserve">Button Box </v>
      </c>
      <c r="G9" s="1">
        <v>10</v>
      </c>
      <c r="H9" s="19">
        <v>1.95</v>
      </c>
      <c r="I9" s="19">
        <v>19.5</v>
      </c>
    </row>
    <row r="10" spans="1:12" x14ac:dyDescent="0.3">
      <c r="A10" s="1">
        <v>542080</v>
      </c>
      <c r="B10" s="2">
        <v>43490</v>
      </c>
      <c r="C10" t="s">
        <v>5</v>
      </c>
      <c r="D10" s="1">
        <v>13815</v>
      </c>
      <c r="E10" s="1">
        <v>20713</v>
      </c>
      <c r="F10" t="str">
        <f>VLOOKUP(Orders[[#This Row],[Product ID]],Products[],2,0)</f>
        <v>Jumbo Bag Owls</v>
      </c>
      <c r="G10" s="1">
        <v>10</v>
      </c>
      <c r="H10" s="19">
        <v>1.95</v>
      </c>
      <c r="I10" s="19">
        <v>19.5</v>
      </c>
    </row>
    <row r="11" spans="1:12" x14ac:dyDescent="0.3">
      <c r="A11" s="1">
        <v>542080</v>
      </c>
      <c r="B11" s="2">
        <v>43490</v>
      </c>
      <c r="C11" t="s">
        <v>5</v>
      </c>
      <c r="D11" s="1">
        <v>13815</v>
      </c>
      <c r="E11" s="1">
        <v>22740</v>
      </c>
      <c r="F11" t="str">
        <f>VLOOKUP(Orders[[#This Row],[Product ID]],Products[],2,0)</f>
        <v>Polkadot Pen</v>
      </c>
      <c r="G11" s="1">
        <v>48</v>
      </c>
      <c r="H11" s="19">
        <v>0.85</v>
      </c>
      <c r="I11" s="19">
        <v>40.799999999999997</v>
      </c>
    </row>
    <row r="12" spans="1:12" x14ac:dyDescent="0.3">
      <c r="A12" s="1">
        <v>542080</v>
      </c>
      <c r="B12" s="2">
        <v>43490</v>
      </c>
      <c r="C12" t="s">
        <v>5</v>
      </c>
      <c r="D12" s="1">
        <v>13815</v>
      </c>
      <c r="E12" s="1">
        <v>22741</v>
      </c>
      <c r="F12" t="str">
        <f>VLOOKUP(Orders[[#This Row],[Product ID]],Products[],2,0)</f>
        <v>Funky Diva Pen</v>
      </c>
      <c r="G12" s="1">
        <v>48</v>
      </c>
      <c r="H12" s="19">
        <v>0.85</v>
      </c>
      <c r="I12" s="19">
        <v>40.799999999999997</v>
      </c>
    </row>
    <row r="13" spans="1:12" x14ac:dyDescent="0.3">
      <c r="A13" s="1">
        <v>542371</v>
      </c>
      <c r="B13" s="2">
        <v>43492</v>
      </c>
      <c r="C13" t="s">
        <v>5</v>
      </c>
      <c r="D13" s="1">
        <v>12468</v>
      </c>
      <c r="E13" s="1">
        <v>62018</v>
      </c>
      <c r="F13" t="str">
        <f>VLOOKUP(Orders[[#This Row],[Product ID]],Products[],2,0)</f>
        <v xml:space="preserve">Sombrero </v>
      </c>
      <c r="G13" s="1">
        <v>6</v>
      </c>
      <c r="H13" s="19">
        <v>1.95</v>
      </c>
      <c r="I13" s="19">
        <v>11.7</v>
      </c>
    </row>
    <row r="14" spans="1:12" x14ac:dyDescent="0.3">
      <c r="A14" s="1">
        <v>542428</v>
      </c>
      <c r="B14" s="2">
        <v>43493</v>
      </c>
      <c r="C14" t="s">
        <v>13</v>
      </c>
      <c r="D14" s="1">
        <v>17404</v>
      </c>
      <c r="E14" s="1">
        <v>21260</v>
      </c>
      <c r="F14" t="str">
        <f>VLOOKUP(Orders[[#This Row],[Product ID]],Products[],2,0)</f>
        <v>First Aid Tin</v>
      </c>
      <c r="G14" s="1">
        <v>48</v>
      </c>
      <c r="H14" s="19">
        <v>3.25</v>
      </c>
      <c r="I14" s="19">
        <v>156</v>
      </c>
    </row>
    <row r="15" spans="1:12" x14ac:dyDescent="0.3">
      <c r="A15" s="1">
        <v>542535</v>
      </c>
      <c r="B15" s="2">
        <v>43493</v>
      </c>
      <c r="C15" t="s">
        <v>3</v>
      </c>
      <c r="D15" s="1">
        <v>12735</v>
      </c>
      <c r="E15" s="1">
        <v>21888</v>
      </c>
      <c r="F15" t="str">
        <f>VLOOKUP(Orders[[#This Row],[Product ID]],Products[],2,0)</f>
        <v>Bingo Set</v>
      </c>
      <c r="G15" s="1">
        <v>4</v>
      </c>
      <c r="H15" s="19">
        <v>3.75</v>
      </c>
      <c r="I15" s="19">
        <v>15</v>
      </c>
    </row>
    <row r="16" spans="1:12" x14ac:dyDescent="0.3">
      <c r="A16" s="1">
        <v>542612</v>
      </c>
      <c r="B16" s="2">
        <v>43495</v>
      </c>
      <c r="C16" t="s">
        <v>2</v>
      </c>
      <c r="D16" s="1">
        <v>17841</v>
      </c>
      <c r="E16" s="1">
        <v>20713</v>
      </c>
      <c r="F16" t="str">
        <f>VLOOKUP(Orders[[#This Row],[Product ID]],Products[],2,0)</f>
        <v>Jumbo Bag Owls</v>
      </c>
      <c r="G16" s="1">
        <v>1</v>
      </c>
      <c r="H16" s="19">
        <v>1.95</v>
      </c>
      <c r="I16" s="19">
        <v>1.95</v>
      </c>
    </row>
    <row r="17" spans="1:9" x14ac:dyDescent="0.3">
      <c r="A17" s="1">
        <v>542648</v>
      </c>
      <c r="B17" s="2">
        <v>43496</v>
      </c>
      <c r="C17" t="s">
        <v>5</v>
      </c>
      <c r="D17" s="1">
        <v>12476</v>
      </c>
      <c r="E17" s="1">
        <v>21116</v>
      </c>
      <c r="F17" t="str">
        <f>VLOOKUP(Orders[[#This Row],[Product ID]],Products[],2,0)</f>
        <v>Owl Doorstop</v>
      </c>
      <c r="G17" s="1">
        <v>3</v>
      </c>
      <c r="H17" s="19">
        <v>4.95</v>
      </c>
      <c r="I17" s="19">
        <v>14.850000000000001</v>
      </c>
    </row>
    <row r="18" spans="1:9" x14ac:dyDescent="0.3">
      <c r="A18" s="1">
        <v>542887</v>
      </c>
      <c r="B18" s="2">
        <v>43497</v>
      </c>
      <c r="C18" t="s">
        <v>15</v>
      </c>
      <c r="D18" s="1">
        <v>12373</v>
      </c>
      <c r="E18" s="1">
        <v>20713</v>
      </c>
      <c r="F18" t="str">
        <f>VLOOKUP(Orders[[#This Row],[Product ID]],Products[],2,0)</f>
        <v>Jumbo Bag Owls</v>
      </c>
      <c r="G18" s="1">
        <v>10</v>
      </c>
      <c r="H18" s="19">
        <v>1.95</v>
      </c>
      <c r="I18" s="19">
        <v>19.5</v>
      </c>
    </row>
    <row r="19" spans="1:9" x14ac:dyDescent="0.3">
      <c r="A19" s="1">
        <v>543731</v>
      </c>
      <c r="B19" s="2">
        <v>43507</v>
      </c>
      <c r="C19" t="s">
        <v>2</v>
      </c>
      <c r="D19" s="1">
        <v>17677</v>
      </c>
      <c r="E19" s="1">
        <v>20713</v>
      </c>
      <c r="F19" t="str">
        <f>VLOOKUP(Orders[[#This Row],[Product ID]],Products[],2,0)</f>
        <v>Jumbo Bag Owls</v>
      </c>
      <c r="G19" s="1">
        <v>100</v>
      </c>
      <c r="H19" s="19">
        <v>1.65</v>
      </c>
      <c r="I19" s="19">
        <v>165</v>
      </c>
    </row>
    <row r="20" spans="1:9" x14ac:dyDescent="0.3">
      <c r="A20" s="1">
        <v>543733</v>
      </c>
      <c r="B20" s="2">
        <v>43507</v>
      </c>
      <c r="C20" t="s">
        <v>11</v>
      </c>
      <c r="D20" s="1">
        <v>12395</v>
      </c>
      <c r="E20" s="1">
        <v>22740</v>
      </c>
      <c r="F20" t="str">
        <f>VLOOKUP(Orders[[#This Row],[Product ID]],Products[],2,0)</f>
        <v>Polkadot Pen</v>
      </c>
      <c r="G20" s="1">
        <v>48</v>
      </c>
      <c r="H20" s="19">
        <v>0.85</v>
      </c>
      <c r="I20" s="19">
        <v>40.799999999999997</v>
      </c>
    </row>
    <row r="21" spans="1:9" x14ac:dyDescent="0.3">
      <c r="A21" s="1">
        <v>543737</v>
      </c>
      <c r="B21" s="2">
        <v>43507</v>
      </c>
      <c r="C21" t="s">
        <v>5</v>
      </c>
      <c r="D21" s="1">
        <v>12477</v>
      </c>
      <c r="E21" s="1">
        <v>21116</v>
      </c>
      <c r="F21" t="str">
        <f>VLOOKUP(Orders[[#This Row],[Product ID]],Products[],2,0)</f>
        <v>Owl Doorstop</v>
      </c>
      <c r="G21" s="1">
        <v>3</v>
      </c>
      <c r="H21" s="19">
        <v>4.95</v>
      </c>
      <c r="I21" s="19">
        <v>14.850000000000001</v>
      </c>
    </row>
    <row r="22" spans="1:9" x14ac:dyDescent="0.3">
      <c r="A22" s="1">
        <v>543831</v>
      </c>
      <c r="B22" s="2">
        <v>43510</v>
      </c>
      <c r="C22" t="s">
        <v>2</v>
      </c>
      <c r="D22" s="1">
        <v>15769</v>
      </c>
      <c r="E22" s="1">
        <v>20713</v>
      </c>
      <c r="F22" t="str">
        <f>VLOOKUP(Orders[[#This Row],[Product ID]],Products[],2,0)</f>
        <v>Jumbo Bag Owls</v>
      </c>
      <c r="G22" s="1">
        <v>100</v>
      </c>
      <c r="H22" s="19">
        <v>1.65</v>
      </c>
      <c r="I22" s="19">
        <v>165</v>
      </c>
    </row>
    <row r="23" spans="1:9" x14ac:dyDescent="0.3">
      <c r="A23" s="1">
        <v>544355</v>
      </c>
      <c r="B23" s="2">
        <v>43514</v>
      </c>
      <c r="C23" t="s">
        <v>3</v>
      </c>
      <c r="D23" s="1">
        <v>12714</v>
      </c>
      <c r="E23" s="1">
        <v>22741</v>
      </c>
      <c r="F23" t="str">
        <f>VLOOKUP(Orders[[#This Row],[Product ID]],Products[],2,0)</f>
        <v>Funky Diva Pen</v>
      </c>
      <c r="G23" s="1">
        <v>48</v>
      </c>
      <c r="H23" s="19">
        <v>0.85</v>
      </c>
      <c r="I23" s="19">
        <v>40.799999999999997</v>
      </c>
    </row>
    <row r="24" spans="1:9" x14ac:dyDescent="0.3">
      <c r="A24" s="1">
        <v>544355</v>
      </c>
      <c r="B24" s="2">
        <v>43514</v>
      </c>
      <c r="C24" t="s">
        <v>3</v>
      </c>
      <c r="D24" s="1">
        <v>12714</v>
      </c>
      <c r="E24" s="1">
        <v>22740</v>
      </c>
      <c r="F24" t="str">
        <f>VLOOKUP(Orders[[#This Row],[Product ID]],Products[],2,0)</f>
        <v>Polkadot Pen</v>
      </c>
      <c r="G24" s="1">
        <v>96</v>
      </c>
      <c r="H24" s="19">
        <v>0.85</v>
      </c>
      <c r="I24" s="19">
        <v>81.599999999999994</v>
      </c>
    </row>
    <row r="25" spans="1:9" x14ac:dyDescent="0.3">
      <c r="A25" s="1">
        <v>544399</v>
      </c>
      <c r="B25" s="2">
        <v>43514</v>
      </c>
      <c r="C25" t="s">
        <v>10</v>
      </c>
      <c r="D25" s="1">
        <v>12594</v>
      </c>
      <c r="E25" s="1">
        <v>20713</v>
      </c>
      <c r="F25" t="str">
        <f>VLOOKUP(Orders[[#This Row],[Product ID]],Products[],2,0)</f>
        <v>Jumbo Bag Owls</v>
      </c>
      <c r="G25" s="1">
        <v>10</v>
      </c>
      <c r="H25" s="19">
        <v>1.95</v>
      </c>
      <c r="I25" s="19">
        <v>19.5</v>
      </c>
    </row>
    <row r="26" spans="1:9" x14ac:dyDescent="0.3">
      <c r="A26" s="1">
        <v>544480</v>
      </c>
      <c r="B26" s="2">
        <v>43517</v>
      </c>
      <c r="C26" t="s">
        <v>4</v>
      </c>
      <c r="D26" s="1">
        <v>14646</v>
      </c>
      <c r="E26" s="1">
        <v>20713</v>
      </c>
      <c r="F26" t="str">
        <f>VLOOKUP(Orders[[#This Row],[Product ID]],Products[],2,0)</f>
        <v>Jumbo Bag Owls</v>
      </c>
      <c r="G26" s="1">
        <v>100</v>
      </c>
      <c r="H26" s="19">
        <v>1.65</v>
      </c>
      <c r="I26" s="19">
        <v>165</v>
      </c>
    </row>
    <row r="27" spans="1:9" x14ac:dyDescent="0.3">
      <c r="A27" s="1">
        <v>544480</v>
      </c>
      <c r="B27" s="2">
        <v>43517</v>
      </c>
      <c r="C27" t="s">
        <v>4</v>
      </c>
      <c r="D27" s="1">
        <v>14646</v>
      </c>
      <c r="E27" s="1">
        <v>22653</v>
      </c>
      <c r="F27" t="str">
        <f>VLOOKUP(Orders[[#This Row],[Product ID]],Products[],2,0)</f>
        <v xml:space="preserve">Button Box </v>
      </c>
      <c r="G27" s="1">
        <v>200</v>
      </c>
      <c r="H27" s="19">
        <v>1.65</v>
      </c>
      <c r="I27" s="19">
        <v>330</v>
      </c>
    </row>
    <row r="28" spans="1:9" x14ac:dyDescent="0.3">
      <c r="A28" s="1">
        <v>544657</v>
      </c>
      <c r="B28" s="2">
        <v>43518</v>
      </c>
      <c r="C28" t="s">
        <v>2</v>
      </c>
      <c r="D28" s="1">
        <v>14895</v>
      </c>
      <c r="E28" s="1">
        <v>22174</v>
      </c>
      <c r="F28" t="str">
        <f>VLOOKUP(Orders[[#This Row],[Product ID]],Products[],2,0)</f>
        <v>Photo Cube</v>
      </c>
      <c r="G28" s="1">
        <v>12</v>
      </c>
      <c r="H28" s="19">
        <v>1.65</v>
      </c>
      <c r="I28" s="19">
        <v>19.799999999999997</v>
      </c>
    </row>
    <row r="29" spans="1:9" x14ac:dyDescent="0.3">
      <c r="A29" s="1">
        <v>544672</v>
      </c>
      <c r="B29" s="2">
        <v>43518</v>
      </c>
      <c r="C29" t="s">
        <v>4</v>
      </c>
      <c r="D29" s="1">
        <v>14646</v>
      </c>
      <c r="E29" s="1">
        <v>22653</v>
      </c>
      <c r="F29" t="str">
        <f>VLOOKUP(Orders[[#This Row],[Product ID]],Products[],2,0)</f>
        <v xml:space="preserve">Button Box </v>
      </c>
      <c r="G29" s="1">
        <v>20</v>
      </c>
      <c r="H29" s="19">
        <v>1.95</v>
      </c>
      <c r="I29" s="19">
        <v>39</v>
      </c>
    </row>
    <row r="30" spans="1:9" x14ac:dyDescent="0.3">
      <c r="A30" s="1">
        <v>544672</v>
      </c>
      <c r="B30" s="2">
        <v>43518</v>
      </c>
      <c r="C30" t="s">
        <v>4</v>
      </c>
      <c r="D30" s="1">
        <v>14646</v>
      </c>
      <c r="E30" s="1">
        <v>20713</v>
      </c>
      <c r="F30" t="str">
        <f>VLOOKUP(Orders[[#This Row],[Product ID]],Products[],2,0)</f>
        <v>Jumbo Bag Owls</v>
      </c>
      <c r="G30" s="1">
        <v>100</v>
      </c>
      <c r="H30" s="19">
        <v>1.65</v>
      </c>
      <c r="I30" s="19">
        <v>165</v>
      </c>
    </row>
    <row r="31" spans="1:9" x14ac:dyDescent="0.3">
      <c r="A31" s="1">
        <v>544811</v>
      </c>
      <c r="B31" s="2">
        <v>43519</v>
      </c>
      <c r="C31" t="s">
        <v>5</v>
      </c>
      <c r="D31" s="1">
        <v>12471</v>
      </c>
      <c r="E31" s="1">
        <v>22741</v>
      </c>
      <c r="F31" t="str">
        <f>VLOOKUP(Orders[[#This Row],[Product ID]],Products[],2,0)</f>
        <v>Funky Diva Pen</v>
      </c>
      <c r="G31" s="1">
        <v>48</v>
      </c>
      <c r="H31" s="19">
        <v>0.85</v>
      </c>
      <c r="I31" s="19">
        <v>40.799999999999997</v>
      </c>
    </row>
    <row r="32" spans="1:9" x14ac:dyDescent="0.3">
      <c r="A32" s="1">
        <v>545664</v>
      </c>
      <c r="B32" s="2">
        <v>43528</v>
      </c>
      <c r="C32" t="s">
        <v>10</v>
      </c>
      <c r="D32" s="1">
        <v>12584</v>
      </c>
      <c r="E32" s="1">
        <v>21260</v>
      </c>
      <c r="F32" t="str">
        <f>VLOOKUP(Orders[[#This Row],[Product ID]],Products[],2,0)</f>
        <v>First Aid Tin</v>
      </c>
      <c r="G32" s="1">
        <v>6</v>
      </c>
      <c r="H32" s="19">
        <v>3.25</v>
      </c>
      <c r="I32" s="19">
        <v>19.5</v>
      </c>
    </row>
    <row r="33" spans="1:9" x14ac:dyDescent="0.3">
      <c r="A33" s="1">
        <v>545937</v>
      </c>
      <c r="B33" s="2">
        <v>43532</v>
      </c>
      <c r="C33" t="s">
        <v>9</v>
      </c>
      <c r="D33" s="1">
        <v>12758</v>
      </c>
      <c r="E33" s="1">
        <v>22740</v>
      </c>
      <c r="F33" t="str">
        <f>VLOOKUP(Orders[[#This Row],[Product ID]],Products[],2,0)</f>
        <v>Polkadot Pen</v>
      </c>
      <c r="G33" s="1">
        <v>48</v>
      </c>
      <c r="H33" s="19">
        <v>0.85</v>
      </c>
      <c r="I33" s="19">
        <v>40.799999999999997</v>
      </c>
    </row>
    <row r="34" spans="1:9" x14ac:dyDescent="0.3">
      <c r="A34" s="1">
        <v>545988</v>
      </c>
      <c r="B34" s="2">
        <v>43532</v>
      </c>
      <c r="C34" t="s">
        <v>5</v>
      </c>
      <c r="D34" s="1">
        <v>12662</v>
      </c>
      <c r="E34" s="1">
        <v>20713</v>
      </c>
      <c r="F34" t="str">
        <f>VLOOKUP(Orders[[#This Row],[Product ID]],Products[],2,0)</f>
        <v>Jumbo Bag Owls</v>
      </c>
      <c r="G34" s="1">
        <v>10</v>
      </c>
      <c r="H34" s="19">
        <v>1.95</v>
      </c>
      <c r="I34" s="19">
        <v>19.5</v>
      </c>
    </row>
    <row r="35" spans="1:9" x14ac:dyDescent="0.3">
      <c r="A35" s="1">
        <v>546780</v>
      </c>
      <c r="B35" s="2">
        <v>43541</v>
      </c>
      <c r="C35" t="s">
        <v>12</v>
      </c>
      <c r="D35" s="1">
        <v>12435</v>
      </c>
      <c r="E35" s="1">
        <v>20713</v>
      </c>
      <c r="F35" t="str">
        <f>VLOOKUP(Orders[[#This Row],[Product ID]],Products[],2,0)</f>
        <v>Jumbo Bag Owls</v>
      </c>
      <c r="G35" s="1">
        <v>20</v>
      </c>
      <c r="H35" s="19">
        <v>1.95</v>
      </c>
      <c r="I35" s="19">
        <v>39</v>
      </c>
    </row>
    <row r="36" spans="1:9" x14ac:dyDescent="0.3">
      <c r="A36" s="1">
        <v>546843</v>
      </c>
      <c r="B36" s="2">
        <v>43541</v>
      </c>
      <c r="C36" t="s">
        <v>5</v>
      </c>
      <c r="D36" s="1">
        <v>12472</v>
      </c>
      <c r="E36" s="1">
        <v>20713</v>
      </c>
      <c r="F36" t="str">
        <f>VLOOKUP(Orders[[#This Row],[Product ID]],Products[],2,0)</f>
        <v>Jumbo Bag Owls</v>
      </c>
      <c r="G36" s="1">
        <v>10</v>
      </c>
      <c r="H36" s="19">
        <v>1.95</v>
      </c>
      <c r="I36" s="19">
        <v>19.5</v>
      </c>
    </row>
    <row r="37" spans="1:9" x14ac:dyDescent="0.3">
      <c r="A37" s="1">
        <v>546843</v>
      </c>
      <c r="B37" s="2">
        <v>43541</v>
      </c>
      <c r="C37" t="s">
        <v>5</v>
      </c>
      <c r="D37" s="1">
        <v>12472</v>
      </c>
      <c r="E37" s="1">
        <v>22740</v>
      </c>
      <c r="F37" t="str">
        <f>VLOOKUP(Orders[[#This Row],[Product ID]],Products[],2,0)</f>
        <v>Polkadot Pen</v>
      </c>
      <c r="G37" s="1">
        <v>48</v>
      </c>
      <c r="H37" s="19">
        <v>0.85</v>
      </c>
      <c r="I37" s="19">
        <v>40.799999999999997</v>
      </c>
    </row>
    <row r="38" spans="1:9" x14ac:dyDescent="0.3">
      <c r="A38" s="1">
        <v>546920</v>
      </c>
      <c r="B38" s="2">
        <v>43542</v>
      </c>
      <c r="C38" t="s">
        <v>5</v>
      </c>
      <c r="D38" s="1">
        <v>12471</v>
      </c>
      <c r="E38" s="1">
        <v>22741</v>
      </c>
      <c r="F38" t="str">
        <f>VLOOKUP(Orders[[#This Row],[Product ID]],Products[],2,0)</f>
        <v>Funky Diva Pen</v>
      </c>
      <c r="G38" s="1">
        <v>48</v>
      </c>
      <c r="H38" s="19">
        <v>0.85</v>
      </c>
      <c r="I38" s="19">
        <v>40.799999999999997</v>
      </c>
    </row>
    <row r="39" spans="1:9" x14ac:dyDescent="0.3">
      <c r="A39" s="1">
        <v>547194</v>
      </c>
      <c r="B39" s="2">
        <v>43545</v>
      </c>
      <c r="C39" t="s">
        <v>3</v>
      </c>
      <c r="D39" s="1">
        <v>12637</v>
      </c>
      <c r="E39" s="1">
        <v>20713</v>
      </c>
      <c r="F39" t="str">
        <f>VLOOKUP(Orders[[#This Row],[Product ID]],Products[],2,0)</f>
        <v>Jumbo Bag Owls</v>
      </c>
      <c r="G39" s="1">
        <v>2</v>
      </c>
      <c r="H39" s="19">
        <v>1.95</v>
      </c>
      <c r="I39" s="19">
        <v>3.9</v>
      </c>
    </row>
    <row r="40" spans="1:9" x14ac:dyDescent="0.3">
      <c r="A40" s="1">
        <v>547517</v>
      </c>
      <c r="B40" s="2">
        <v>43547</v>
      </c>
      <c r="C40" t="s">
        <v>11</v>
      </c>
      <c r="D40" s="1">
        <v>12395</v>
      </c>
      <c r="E40" s="1">
        <v>22740</v>
      </c>
      <c r="F40" t="str">
        <f>VLOOKUP(Orders[[#This Row],[Product ID]],Products[],2,0)</f>
        <v>Polkadot Pen</v>
      </c>
      <c r="G40" s="1">
        <v>48</v>
      </c>
      <c r="H40" s="19">
        <v>0.85</v>
      </c>
      <c r="I40" s="19">
        <v>40.799999999999997</v>
      </c>
    </row>
    <row r="41" spans="1:9" x14ac:dyDescent="0.3">
      <c r="A41" s="1">
        <v>547685</v>
      </c>
      <c r="B41" s="2">
        <v>43548</v>
      </c>
      <c r="C41" t="s">
        <v>11</v>
      </c>
      <c r="D41" s="1">
        <v>12408</v>
      </c>
      <c r="E41" s="1">
        <v>20713</v>
      </c>
      <c r="F41" t="str">
        <f>VLOOKUP(Orders[[#This Row],[Product ID]],Products[],2,0)</f>
        <v>Jumbo Bag Owls</v>
      </c>
      <c r="G41" s="1">
        <v>10</v>
      </c>
      <c r="H41" s="19">
        <v>1.95</v>
      </c>
      <c r="I41" s="19">
        <v>19.5</v>
      </c>
    </row>
    <row r="42" spans="1:9" x14ac:dyDescent="0.3">
      <c r="A42" s="1">
        <v>547897</v>
      </c>
      <c r="B42" s="2">
        <v>43552</v>
      </c>
      <c r="C42" t="s">
        <v>9</v>
      </c>
      <c r="D42" s="1">
        <v>12792</v>
      </c>
      <c r="E42" s="1">
        <v>21888</v>
      </c>
      <c r="F42" t="str">
        <f>VLOOKUP(Orders[[#This Row],[Product ID]],Products[],2,0)</f>
        <v>Bingo Set</v>
      </c>
      <c r="G42" s="1">
        <v>4</v>
      </c>
      <c r="H42" s="19">
        <v>3.75</v>
      </c>
      <c r="I42" s="19">
        <v>15</v>
      </c>
    </row>
    <row r="43" spans="1:9" x14ac:dyDescent="0.3">
      <c r="A43" s="1">
        <v>548711</v>
      </c>
      <c r="B43" s="2">
        <v>43558</v>
      </c>
      <c r="C43" t="s">
        <v>2</v>
      </c>
      <c r="D43" s="1">
        <v>18116</v>
      </c>
      <c r="E43" s="1">
        <v>22694</v>
      </c>
      <c r="F43" t="str">
        <f>VLOOKUP(Orders[[#This Row],[Product ID]],Products[],2,0)</f>
        <v xml:space="preserve">Wicker Star </v>
      </c>
      <c r="G43" s="1">
        <v>1</v>
      </c>
      <c r="H43" s="19">
        <v>2.1</v>
      </c>
      <c r="I43" s="19">
        <v>2.1</v>
      </c>
    </row>
    <row r="44" spans="1:9" x14ac:dyDescent="0.3">
      <c r="A44" s="1">
        <v>548745</v>
      </c>
      <c r="B44" s="2">
        <v>43559</v>
      </c>
      <c r="C44" t="s">
        <v>5</v>
      </c>
      <c r="D44" s="1">
        <v>12471</v>
      </c>
      <c r="E44" s="1">
        <v>22741</v>
      </c>
      <c r="F44" t="str">
        <f>VLOOKUP(Orders[[#This Row],[Product ID]],Products[],2,0)</f>
        <v>Funky Diva Pen</v>
      </c>
      <c r="G44" s="1">
        <v>48</v>
      </c>
      <c r="H44" s="19">
        <v>0.85</v>
      </c>
      <c r="I44" s="19">
        <v>40.799999999999997</v>
      </c>
    </row>
    <row r="45" spans="1:9" x14ac:dyDescent="0.3">
      <c r="A45" s="1">
        <v>550188</v>
      </c>
      <c r="B45" s="2">
        <v>43569</v>
      </c>
      <c r="C45" t="s">
        <v>7</v>
      </c>
      <c r="D45" s="1">
        <v>12457</v>
      </c>
      <c r="E45" s="1">
        <v>21888</v>
      </c>
      <c r="F45" t="str">
        <f>VLOOKUP(Orders[[#This Row],[Product ID]],Products[],2,0)</f>
        <v>Bingo Set</v>
      </c>
      <c r="G45" s="1">
        <v>4</v>
      </c>
      <c r="H45" s="19">
        <v>3.75</v>
      </c>
      <c r="I45" s="19">
        <v>15</v>
      </c>
    </row>
    <row r="46" spans="1:9" x14ac:dyDescent="0.3">
      <c r="A46" s="1">
        <v>550665</v>
      </c>
      <c r="B46" s="2">
        <v>43575</v>
      </c>
      <c r="C46" t="s">
        <v>5</v>
      </c>
      <c r="D46" s="1">
        <v>12530</v>
      </c>
      <c r="E46" s="1">
        <v>22740</v>
      </c>
      <c r="F46" t="str">
        <f>VLOOKUP(Orders[[#This Row],[Product ID]],Products[],2,0)</f>
        <v>Polkadot Pen</v>
      </c>
      <c r="G46" s="1">
        <v>48</v>
      </c>
      <c r="H46" s="19">
        <v>0.85</v>
      </c>
      <c r="I46" s="19">
        <v>40.799999999999997</v>
      </c>
    </row>
    <row r="47" spans="1:9" x14ac:dyDescent="0.3">
      <c r="A47" s="1">
        <v>550827</v>
      </c>
      <c r="B47" s="2">
        <v>43576</v>
      </c>
      <c r="C47" t="s">
        <v>3</v>
      </c>
      <c r="D47" s="1">
        <v>12670</v>
      </c>
      <c r="E47" s="1">
        <v>22740</v>
      </c>
      <c r="F47" t="str">
        <f>VLOOKUP(Orders[[#This Row],[Product ID]],Products[],2,0)</f>
        <v>Polkadot Pen</v>
      </c>
      <c r="G47" s="1">
        <v>48</v>
      </c>
      <c r="H47" s="19">
        <v>0.85</v>
      </c>
      <c r="I47" s="19">
        <v>40.799999999999997</v>
      </c>
    </row>
    <row r="48" spans="1:9" x14ac:dyDescent="0.3">
      <c r="A48" s="1">
        <v>552337</v>
      </c>
      <c r="B48" s="2">
        <v>43594</v>
      </c>
      <c r="C48" t="s">
        <v>5</v>
      </c>
      <c r="D48" s="1">
        <v>12621</v>
      </c>
      <c r="E48" s="1">
        <v>21116</v>
      </c>
      <c r="F48" t="str">
        <f>VLOOKUP(Orders[[#This Row],[Product ID]],Products[],2,0)</f>
        <v>Owl Doorstop</v>
      </c>
      <c r="G48" s="1">
        <v>3</v>
      </c>
      <c r="H48" s="19">
        <v>4.95</v>
      </c>
      <c r="I48" s="19">
        <v>14.850000000000001</v>
      </c>
    </row>
    <row r="49" spans="1:9" x14ac:dyDescent="0.3">
      <c r="A49" s="1">
        <v>552978</v>
      </c>
      <c r="B49" s="2">
        <v>43597</v>
      </c>
      <c r="C49" t="s">
        <v>5</v>
      </c>
      <c r="D49" s="1">
        <v>12590</v>
      </c>
      <c r="E49" s="1">
        <v>22740</v>
      </c>
      <c r="F49" t="str">
        <f>VLOOKUP(Orders[[#This Row],[Product ID]],Products[],2,0)</f>
        <v>Polkadot Pen</v>
      </c>
      <c r="G49" s="1">
        <v>48</v>
      </c>
      <c r="H49" s="19">
        <v>0.85</v>
      </c>
      <c r="I49" s="19">
        <v>40.799999999999997</v>
      </c>
    </row>
    <row r="50" spans="1:9" x14ac:dyDescent="0.3">
      <c r="A50" s="1">
        <v>553037</v>
      </c>
      <c r="B50" s="2">
        <v>43598</v>
      </c>
      <c r="C50" t="s">
        <v>5</v>
      </c>
      <c r="D50" s="1">
        <v>12471</v>
      </c>
      <c r="E50" s="1">
        <v>22741</v>
      </c>
      <c r="F50" t="str">
        <f>VLOOKUP(Orders[[#This Row],[Product ID]],Products[],2,0)</f>
        <v>Funky Diva Pen</v>
      </c>
      <c r="G50" s="1">
        <v>48</v>
      </c>
      <c r="H50" s="19">
        <v>0.85</v>
      </c>
      <c r="I50" s="19">
        <v>40.799999999999997</v>
      </c>
    </row>
    <row r="51" spans="1:9" x14ac:dyDescent="0.3">
      <c r="A51" s="1">
        <v>553377</v>
      </c>
      <c r="B51" s="2">
        <v>43601</v>
      </c>
      <c r="C51" t="s">
        <v>2</v>
      </c>
      <c r="D51" s="1">
        <v>14888</v>
      </c>
      <c r="E51" s="1">
        <v>21888</v>
      </c>
      <c r="F51" t="str">
        <f>VLOOKUP(Orders[[#This Row],[Product ID]],Products[],2,0)</f>
        <v>Bingo Set</v>
      </c>
      <c r="G51" s="1">
        <v>6</v>
      </c>
      <c r="H51" s="19">
        <v>3.75</v>
      </c>
      <c r="I51" s="19">
        <v>22.5</v>
      </c>
    </row>
    <row r="52" spans="1:9" x14ac:dyDescent="0.3">
      <c r="A52" s="1">
        <v>553540</v>
      </c>
      <c r="B52" s="2">
        <v>43602</v>
      </c>
      <c r="C52" t="s">
        <v>2</v>
      </c>
      <c r="D52" s="1">
        <v>17511</v>
      </c>
      <c r="E52" s="1">
        <v>21888</v>
      </c>
      <c r="F52" t="str">
        <f>VLOOKUP(Orders[[#This Row],[Product ID]],Products[],2,0)</f>
        <v>Bingo Set</v>
      </c>
      <c r="G52" s="1">
        <v>4</v>
      </c>
      <c r="H52" s="19">
        <v>3.75</v>
      </c>
      <c r="I52" s="19">
        <v>15</v>
      </c>
    </row>
    <row r="53" spans="1:9" x14ac:dyDescent="0.3">
      <c r="A53" s="1">
        <v>553832</v>
      </c>
      <c r="B53" s="2">
        <v>43604</v>
      </c>
      <c r="C53" t="s">
        <v>2</v>
      </c>
      <c r="D53" s="1">
        <v>12957</v>
      </c>
      <c r="E53" s="1">
        <v>21025</v>
      </c>
      <c r="F53" t="str">
        <f>VLOOKUP(Orders[[#This Row],[Product ID]],Products[],2,0)</f>
        <v>Space Frog</v>
      </c>
      <c r="G53" s="1">
        <v>10</v>
      </c>
      <c r="H53" s="19">
        <v>1.25</v>
      </c>
      <c r="I53" s="19">
        <v>12.5</v>
      </c>
    </row>
    <row r="54" spans="1:9" x14ac:dyDescent="0.3">
      <c r="A54" s="1">
        <v>554356</v>
      </c>
      <c r="B54" s="2">
        <v>43609</v>
      </c>
      <c r="C54" t="s">
        <v>3</v>
      </c>
      <c r="D54" s="1">
        <v>12670</v>
      </c>
      <c r="E54" s="1">
        <v>22740</v>
      </c>
      <c r="F54" t="str">
        <f>VLOOKUP(Orders[[#This Row],[Product ID]],Products[],2,0)</f>
        <v>Polkadot Pen</v>
      </c>
      <c r="G54" s="1">
        <v>48</v>
      </c>
      <c r="H54" s="19">
        <v>0.85</v>
      </c>
      <c r="I54" s="19">
        <v>40.799999999999997</v>
      </c>
    </row>
    <row r="55" spans="1:9" x14ac:dyDescent="0.3">
      <c r="A55" s="1">
        <v>555095</v>
      </c>
      <c r="B55" s="2">
        <v>43616</v>
      </c>
      <c r="C55" t="s">
        <v>8</v>
      </c>
      <c r="D55" s="1">
        <v>12540</v>
      </c>
      <c r="E55" s="1">
        <v>21116</v>
      </c>
      <c r="F55" t="str">
        <f>VLOOKUP(Orders[[#This Row],[Product ID]],Products[],2,0)</f>
        <v>Owl Doorstop</v>
      </c>
      <c r="G55" s="1">
        <v>3</v>
      </c>
      <c r="H55" s="19">
        <v>4.95</v>
      </c>
      <c r="I55" s="19">
        <v>14.850000000000001</v>
      </c>
    </row>
    <row r="56" spans="1:9" x14ac:dyDescent="0.3">
      <c r="A56" s="1">
        <v>555162</v>
      </c>
      <c r="B56" s="2">
        <v>43617</v>
      </c>
      <c r="C56" t="s">
        <v>5</v>
      </c>
      <c r="D56" s="1">
        <v>12473</v>
      </c>
      <c r="E56" s="1">
        <v>22740</v>
      </c>
      <c r="F56" t="str">
        <f>VLOOKUP(Orders[[#This Row],[Product ID]],Products[],2,0)</f>
        <v>Polkadot Pen</v>
      </c>
      <c r="G56" s="1">
        <v>48</v>
      </c>
      <c r="H56" s="19">
        <v>0.85</v>
      </c>
      <c r="I56" s="19">
        <v>40.799999999999997</v>
      </c>
    </row>
    <row r="57" spans="1:9" x14ac:dyDescent="0.3">
      <c r="A57" s="1">
        <v>555162</v>
      </c>
      <c r="B57" s="2">
        <v>43617</v>
      </c>
      <c r="C57" t="s">
        <v>5</v>
      </c>
      <c r="D57" s="1">
        <v>12473</v>
      </c>
      <c r="E57" s="1">
        <v>22741</v>
      </c>
      <c r="F57" t="str">
        <f>VLOOKUP(Orders[[#This Row],[Product ID]],Products[],2,0)</f>
        <v>Funky Diva Pen</v>
      </c>
      <c r="G57" s="1">
        <v>48</v>
      </c>
      <c r="H57" s="19">
        <v>0.85</v>
      </c>
      <c r="I57" s="19">
        <v>40.799999999999997</v>
      </c>
    </row>
    <row r="58" spans="1:9" x14ac:dyDescent="0.3">
      <c r="A58" s="1">
        <v>555284</v>
      </c>
      <c r="B58" s="2">
        <v>43618</v>
      </c>
      <c r="C58" t="s">
        <v>2</v>
      </c>
      <c r="D58" s="1">
        <v>14298</v>
      </c>
      <c r="E58" s="1">
        <v>62018</v>
      </c>
      <c r="F58" t="str">
        <f>VLOOKUP(Orders[[#This Row],[Product ID]],Products[],2,0)</f>
        <v xml:space="preserve">Sombrero </v>
      </c>
      <c r="G58" s="1">
        <v>48</v>
      </c>
      <c r="H58" s="19">
        <v>1.25</v>
      </c>
      <c r="I58" s="19">
        <v>60</v>
      </c>
    </row>
    <row r="59" spans="1:9" x14ac:dyDescent="0.3">
      <c r="A59" s="1">
        <v>555572</v>
      </c>
      <c r="B59" s="2">
        <v>43621</v>
      </c>
      <c r="C59" t="s">
        <v>11</v>
      </c>
      <c r="D59" s="1">
        <v>12449</v>
      </c>
      <c r="E59" s="1">
        <v>21888</v>
      </c>
      <c r="F59" t="str">
        <f>VLOOKUP(Orders[[#This Row],[Product ID]],Products[],2,0)</f>
        <v>Bingo Set</v>
      </c>
      <c r="G59" s="1">
        <v>4</v>
      </c>
      <c r="H59" s="19">
        <v>3.75</v>
      </c>
      <c r="I59" s="19">
        <v>15</v>
      </c>
    </row>
    <row r="60" spans="1:9" x14ac:dyDescent="0.3">
      <c r="A60" s="1">
        <v>555637</v>
      </c>
      <c r="B60" s="2">
        <v>43622</v>
      </c>
      <c r="C60" t="s">
        <v>3</v>
      </c>
      <c r="D60" s="1">
        <v>12535</v>
      </c>
      <c r="E60" s="1">
        <v>21116</v>
      </c>
      <c r="F60" t="str">
        <f>VLOOKUP(Orders[[#This Row],[Product ID]],Products[],2,0)</f>
        <v>Owl Doorstop</v>
      </c>
      <c r="G60" s="1">
        <v>3</v>
      </c>
      <c r="H60" s="19">
        <v>4.95</v>
      </c>
      <c r="I60" s="19">
        <v>14.850000000000001</v>
      </c>
    </row>
    <row r="61" spans="1:9" x14ac:dyDescent="0.3">
      <c r="A61" s="1">
        <v>556258</v>
      </c>
      <c r="B61" s="2">
        <v>43625</v>
      </c>
      <c r="C61" t="s">
        <v>3</v>
      </c>
      <c r="D61" s="1">
        <v>12694</v>
      </c>
      <c r="E61" s="1">
        <v>21888</v>
      </c>
      <c r="F61" t="str">
        <f>VLOOKUP(Orders[[#This Row],[Product ID]],Products[],2,0)</f>
        <v>Bingo Set</v>
      </c>
      <c r="G61" s="1">
        <v>4</v>
      </c>
      <c r="H61" s="19">
        <v>3.75</v>
      </c>
      <c r="I61" s="19">
        <v>15</v>
      </c>
    </row>
    <row r="62" spans="1:9" x14ac:dyDescent="0.3">
      <c r="A62" s="1">
        <v>557007</v>
      </c>
      <c r="B62" s="2">
        <v>43632</v>
      </c>
      <c r="C62" t="s">
        <v>8</v>
      </c>
      <c r="D62" s="1">
        <v>12484</v>
      </c>
      <c r="E62" s="1">
        <v>22197</v>
      </c>
      <c r="F62" t="str">
        <f>VLOOKUP(Orders[[#This Row],[Product ID]],Products[],2,0)</f>
        <v>Popcorn Holder</v>
      </c>
      <c r="G62" s="1">
        <v>5</v>
      </c>
      <c r="H62" s="19">
        <v>0.85</v>
      </c>
      <c r="I62" s="19">
        <v>4.25</v>
      </c>
    </row>
    <row r="63" spans="1:9" x14ac:dyDescent="0.3">
      <c r="A63" s="1">
        <v>557466</v>
      </c>
      <c r="B63" s="2">
        <v>43636</v>
      </c>
      <c r="C63" t="s">
        <v>5</v>
      </c>
      <c r="D63" s="1">
        <v>13815</v>
      </c>
      <c r="E63" s="1">
        <v>22740</v>
      </c>
      <c r="F63" t="str">
        <f>VLOOKUP(Orders[[#This Row],[Product ID]],Products[],2,0)</f>
        <v>Polkadot Pen</v>
      </c>
      <c r="G63" s="1">
        <v>48</v>
      </c>
      <c r="H63" s="19">
        <v>0.85</v>
      </c>
      <c r="I63" s="19">
        <v>40.799999999999997</v>
      </c>
    </row>
    <row r="64" spans="1:9" x14ac:dyDescent="0.3">
      <c r="A64" s="1">
        <v>557509</v>
      </c>
      <c r="B64" s="2">
        <v>43636</v>
      </c>
      <c r="C64" t="s">
        <v>2</v>
      </c>
      <c r="D64" s="1">
        <v>15389</v>
      </c>
      <c r="E64" s="1">
        <v>62018</v>
      </c>
      <c r="F64" t="str">
        <f>VLOOKUP(Orders[[#This Row],[Product ID]],Products[],2,0)</f>
        <v xml:space="preserve">Sombrero </v>
      </c>
      <c r="G64" s="1">
        <v>400</v>
      </c>
      <c r="H64" s="19">
        <v>1.25</v>
      </c>
      <c r="I64" s="19">
        <v>500</v>
      </c>
    </row>
    <row r="65" spans="1:9" x14ac:dyDescent="0.3">
      <c r="A65" s="1">
        <v>557525</v>
      </c>
      <c r="B65" s="2">
        <v>43637</v>
      </c>
      <c r="C65" t="s">
        <v>4</v>
      </c>
      <c r="D65" s="1">
        <v>12759</v>
      </c>
      <c r="E65" s="1">
        <v>21260</v>
      </c>
      <c r="F65" t="str">
        <f>VLOOKUP(Orders[[#This Row],[Product ID]],Products[],2,0)</f>
        <v>First Aid Tin</v>
      </c>
      <c r="G65" s="1">
        <v>6</v>
      </c>
      <c r="H65" s="19">
        <v>3.25</v>
      </c>
      <c r="I65" s="19">
        <v>19.5</v>
      </c>
    </row>
    <row r="66" spans="1:9" x14ac:dyDescent="0.3">
      <c r="A66" s="1">
        <v>557789</v>
      </c>
      <c r="B66" s="2">
        <v>43638</v>
      </c>
      <c r="C66" t="s">
        <v>11</v>
      </c>
      <c r="D66" s="1">
        <v>12379</v>
      </c>
      <c r="E66" s="1">
        <v>22740</v>
      </c>
      <c r="F66" t="str">
        <f>VLOOKUP(Orders[[#This Row],[Product ID]],Products[],2,0)</f>
        <v>Polkadot Pen</v>
      </c>
      <c r="G66" s="1">
        <v>48</v>
      </c>
      <c r="H66" s="19">
        <v>0.85</v>
      </c>
      <c r="I66" s="19">
        <v>40.799999999999997</v>
      </c>
    </row>
    <row r="67" spans="1:9" x14ac:dyDescent="0.3">
      <c r="A67" s="1">
        <v>557885</v>
      </c>
      <c r="B67" s="2">
        <v>43639</v>
      </c>
      <c r="C67" t="s">
        <v>11</v>
      </c>
      <c r="D67" s="1">
        <v>12465</v>
      </c>
      <c r="E67" s="1">
        <v>22740</v>
      </c>
      <c r="F67" t="str">
        <f>VLOOKUP(Orders[[#This Row],[Product ID]],Products[],2,0)</f>
        <v>Polkadot Pen</v>
      </c>
      <c r="G67" s="1">
        <v>48</v>
      </c>
      <c r="H67" s="19">
        <v>0.85</v>
      </c>
      <c r="I67" s="19">
        <v>40.799999999999997</v>
      </c>
    </row>
    <row r="68" spans="1:9" x14ac:dyDescent="0.3">
      <c r="A68" s="1">
        <v>558262</v>
      </c>
      <c r="B68" s="2">
        <v>43644</v>
      </c>
      <c r="C68" t="s">
        <v>4</v>
      </c>
      <c r="D68" s="1">
        <v>14646</v>
      </c>
      <c r="E68" s="1">
        <v>20713</v>
      </c>
      <c r="F68" t="str">
        <f>VLOOKUP(Orders[[#This Row],[Product ID]],Products[],2,0)</f>
        <v>Jumbo Bag Owls</v>
      </c>
      <c r="G68" s="1">
        <v>200</v>
      </c>
      <c r="H68" s="19">
        <v>1.79</v>
      </c>
      <c r="I68" s="19">
        <v>358</v>
      </c>
    </row>
    <row r="69" spans="1:9" x14ac:dyDescent="0.3">
      <c r="A69" s="1">
        <v>558628</v>
      </c>
      <c r="B69" s="2">
        <v>43646</v>
      </c>
      <c r="C69" t="s">
        <v>5</v>
      </c>
      <c r="D69" s="1">
        <v>12626</v>
      </c>
      <c r="E69" s="1">
        <v>20713</v>
      </c>
      <c r="F69" t="str">
        <f>VLOOKUP(Orders[[#This Row],[Product ID]],Products[],2,0)</f>
        <v>Jumbo Bag Owls</v>
      </c>
      <c r="G69" s="1">
        <v>10</v>
      </c>
      <c r="H69" s="19">
        <v>2.08</v>
      </c>
      <c r="I69" s="19">
        <v>20.8</v>
      </c>
    </row>
    <row r="70" spans="1:9" x14ac:dyDescent="0.3">
      <c r="A70" s="1">
        <v>559036</v>
      </c>
      <c r="B70" s="2">
        <v>43651</v>
      </c>
      <c r="C70" t="s">
        <v>3</v>
      </c>
      <c r="D70" s="1">
        <v>12637</v>
      </c>
      <c r="E70" s="1">
        <v>22174</v>
      </c>
      <c r="F70" t="str">
        <f>VLOOKUP(Orders[[#This Row],[Product ID]],Products[],2,0)</f>
        <v>Photo Cube</v>
      </c>
      <c r="G70" s="1">
        <v>12</v>
      </c>
      <c r="H70" s="19">
        <v>1.65</v>
      </c>
      <c r="I70" s="19">
        <v>19.799999999999997</v>
      </c>
    </row>
    <row r="71" spans="1:9" x14ac:dyDescent="0.3">
      <c r="A71" s="1">
        <v>559366</v>
      </c>
      <c r="B71" s="2">
        <v>43654</v>
      </c>
      <c r="C71" t="s">
        <v>2</v>
      </c>
      <c r="D71" s="1">
        <v>13102</v>
      </c>
      <c r="E71" s="1">
        <v>22197</v>
      </c>
      <c r="F71" t="str">
        <f>VLOOKUP(Orders[[#This Row],[Product ID]],Products[],2,0)</f>
        <v>Popcorn Holder</v>
      </c>
      <c r="G71" s="1">
        <v>24</v>
      </c>
      <c r="H71" s="19">
        <v>0.85</v>
      </c>
      <c r="I71" s="19">
        <v>20.399999999999999</v>
      </c>
    </row>
    <row r="72" spans="1:9" x14ac:dyDescent="0.3">
      <c r="A72" s="1">
        <v>559418</v>
      </c>
      <c r="B72" s="2">
        <v>43654</v>
      </c>
      <c r="C72" t="s">
        <v>3</v>
      </c>
      <c r="D72" s="1">
        <v>12681</v>
      </c>
      <c r="E72" s="1">
        <v>22197</v>
      </c>
      <c r="F72" t="str">
        <f>VLOOKUP(Orders[[#This Row],[Product ID]],Products[],2,0)</f>
        <v>Popcorn Holder</v>
      </c>
      <c r="G72" s="1">
        <v>12</v>
      </c>
      <c r="H72" s="19">
        <v>0.85</v>
      </c>
      <c r="I72" s="19">
        <v>10.199999999999999</v>
      </c>
    </row>
    <row r="73" spans="1:9" x14ac:dyDescent="0.3">
      <c r="A73" s="1">
        <v>559550</v>
      </c>
      <c r="B73" s="2">
        <v>43656</v>
      </c>
      <c r="C73" t="s">
        <v>2</v>
      </c>
      <c r="D73" s="1">
        <v>17757</v>
      </c>
      <c r="E73" s="1">
        <v>22197</v>
      </c>
      <c r="F73" t="str">
        <f>VLOOKUP(Orders[[#This Row],[Product ID]],Products[],2,0)</f>
        <v>Popcorn Holder</v>
      </c>
      <c r="G73" s="1">
        <v>10</v>
      </c>
      <c r="H73" s="19">
        <v>0.85</v>
      </c>
      <c r="I73" s="19">
        <v>8.5</v>
      </c>
    </row>
    <row r="74" spans="1:9" x14ac:dyDescent="0.3">
      <c r="A74" s="1">
        <v>559665</v>
      </c>
      <c r="B74" s="2">
        <v>43657</v>
      </c>
      <c r="C74" t="s">
        <v>8</v>
      </c>
      <c r="D74" s="1">
        <v>12556</v>
      </c>
      <c r="E74" s="1">
        <v>22197</v>
      </c>
      <c r="F74" t="str">
        <f>VLOOKUP(Orders[[#This Row],[Product ID]],Products[],2,0)</f>
        <v>Popcorn Holder</v>
      </c>
      <c r="G74" s="1">
        <v>4</v>
      </c>
      <c r="H74" s="19">
        <v>0.85</v>
      </c>
      <c r="I74" s="19">
        <v>3.4</v>
      </c>
    </row>
    <row r="75" spans="1:9" x14ac:dyDescent="0.3">
      <c r="A75" s="1">
        <v>559862</v>
      </c>
      <c r="B75" s="2">
        <v>43659</v>
      </c>
      <c r="C75" t="s">
        <v>9</v>
      </c>
      <c r="D75" s="1">
        <v>12782</v>
      </c>
      <c r="E75" s="1">
        <v>22740</v>
      </c>
      <c r="F75" t="str">
        <f>VLOOKUP(Orders[[#This Row],[Product ID]],Products[],2,0)</f>
        <v>Polkadot Pen</v>
      </c>
      <c r="G75" s="1">
        <v>48</v>
      </c>
      <c r="H75" s="19">
        <v>0.85</v>
      </c>
      <c r="I75" s="19">
        <v>40.799999999999997</v>
      </c>
    </row>
    <row r="76" spans="1:9" x14ac:dyDescent="0.3">
      <c r="A76" s="1">
        <v>559907</v>
      </c>
      <c r="B76" s="2">
        <v>43659</v>
      </c>
      <c r="C76" t="s">
        <v>9</v>
      </c>
      <c r="D76" s="1">
        <v>12766</v>
      </c>
      <c r="E76" s="1">
        <v>22740</v>
      </c>
      <c r="F76" t="str">
        <f>VLOOKUP(Orders[[#This Row],[Product ID]],Products[],2,0)</f>
        <v>Polkadot Pen</v>
      </c>
      <c r="G76" s="1">
        <v>96</v>
      </c>
      <c r="H76" s="19">
        <v>0.85</v>
      </c>
      <c r="I76" s="19">
        <v>81.599999999999994</v>
      </c>
    </row>
    <row r="77" spans="1:9" x14ac:dyDescent="0.3">
      <c r="A77" s="1">
        <v>560211</v>
      </c>
      <c r="B77" s="2">
        <v>43661</v>
      </c>
      <c r="C77" t="s">
        <v>5</v>
      </c>
      <c r="D77" s="1">
        <v>12621</v>
      </c>
      <c r="E77" s="1">
        <v>20713</v>
      </c>
      <c r="F77" t="str">
        <f>VLOOKUP(Orders[[#This Row],[Product ID]],Products[],2,0)</f>
        <v>Jumbo Bag Owls</v>
      </c>
      <c r="G77" s="1">
        <v>10</v>
      </c>
      <c r="H77" s="19">
        <v>2.08</v>
      </c>
      <c r="I77" s="19">
        <v>20.8</v>
      </c>
    </row>
    <row r="78" spans="1:9" x14ac:dyDescent="0.3">
      <c r="A78" s="1">
        <v>560590</v>
      </c>
      <c r="B78" s="2">
        <v>43665</v>
      </c>
      <c r="C78" t="s">
        <v>5</v>
      </c>
      <c r="D78" s="1">
        <v>12560</v>
      </c>
      <c r="E78" s="1">
        <v>22740</v>
      </c>
      <c r="F78" t="str">
        <f>VLOOKUP(Orders[[#This Row],[Product ID]],Products[],2,0)</f>
        <v>Polkadot Pen</v>
      </c>
      <c r="G78" s="1">
        <v>48</v>
      </c>
      <c r="H78" s="19">
        <v>0.85</v>
      </c>
      <c r="I78" s="19">
        <v>40.799999999999997</v>
      </c>
    </row>
    <row r="79" spans="1:9" x14ac:dyDescent="0.3">
      <c r="A79" s="1">
        <v>560694</v>
      </c>
      <c r="B79" s="2">
        <v>43666</v>
      </c>
      <c r="C79" t="s">
        <v>9</v>
      </c>
      <c r="D79" s="1">
        <v>12757</v>
      </c>
      <c r="E79" s="1">
        <v>20713</v>
      </c>
      <c r="F79" t="str">
        <f>VLOOKUP(Orders[[#This Row],[Product ID]],Products[],2,0)</f>
        <v>Jumbo Bag Owls</v>
      </c>
      <c r="G79" s="1">
        <v>10</v>
      </c>
      <c r="H79" s="19">
        <v>2.08</v>
      </c>
      <c r="I79" s="19">
        <v>20.8</v>
      </c>
    </row>
    <row r="80" spans="1:9" x14ac:dyDescent="0.3">
      <c r="A80" s="1">
        <v>560901</v>
      </c>
      <c r="B80" s="2">
        <v>43667</v>
      </c>
      <c r="C80" t="s">
        <v>5</v>
      </c>
      <c r="D80" s="1">
        <v>12476</v>
      </c>
      <c r="E80" s="1">
        <v>21116</v>
      </c>
      <c r="F80" t="str">
        <f>VLOOKUP(Orders[[#This Row],[Product ID]],Products[],2,0)</f>
        <v>Owl Doorstop</v>
      </c>
      <c r="G80" s="1">
        <v>3</v>
      </c>
      <c r="H80" s="19">
        <v>4.95</v>
      </c>
      <c r="I80" s="19">
        <v>14.850000000000001</v>
      </c>
    </row>
    <row r="81" spans="1:9" x14ac:dyDescent="0.3">
      <c r="A81" s="1">
        <v>561066</v>
      </c>
      <c r="B81" s="2">
        <v>43670</v>
      </c>
      <c r="C81" t="s">
        <v>2</v>
      </c>
      <c r="D81" s="1">
        <v>16710</v>
      </c>
      <c r="E81" s="1">
        <v>22197</v>
      </c>
      <c r="F81" t="str">
        <f>VLOOKUP(Orders[[#This Row],[Product ID]],Products[],2,0)</f>
        <v>Popcorn Holder</v>
      </c>
      <c r="G81" s="1">
        <v>12</v>
      </c>
      <c r="H81" s="19">
        <v>0.85</v>
      </c>
      <c r="I81" s="19">
        <v>10.199999999999999</v>
      </c>
    </row>
    <row r="82" spans="1:9" x14ac:dyDescent="0.3">
      <c r="A82" s="1">
        <v>561093</v>
      </c>
      <c r="B82" s="2">
        <v>43671</v>
      </c>
      <c r="C82" t="s">
        <v>8</v>
      </c>
      <c r="D82" s="1">
        <v>12540</v>
      </c>
      <c r="E82" s="1">
        <v>21116</v>
      </c>
      <c r="F82" t="str">
        <f>VLOOKUP(Orders[[#This Row],[Product ID]],Products[],2,0)</f>
        <v>Owl Doorstop</v>
      </c>
      <c r="G82" s="1">
        <v>6</v>
      </c>
      <c r="H82" s="19">
        <v>4.95</v>
      </c>
      <c r="I82" s="19">
        <v>29.700000000000003</v>
      </c>
    </row>
    <row r="83" spans="1:9" x14ac:dyDescent="0.3">
      <c r="A83" s="1">
        <v>561093</v>
      </c>
      <c r="B83" s="2">
        <v>43671</v>
      </c>
      <c r="C83" t="s">
        <v>8</v>
      </c>
      <c r="D83" s="1">
        <v>12540</v>
      </c>
      <c r="E83" s="1">
        <v>22740</v>
      </c>
      <c r="F83" t="str">
        <f>VLOOKUP(Orders[[#This Row],[Product ID]],Products[],2,0)</f>
        <v>Polkadot Pen</v>
      </c>
      <c r="G83" s="1">
        <v>48</v>
      </c>
      <c r="H83" s="19">
        <v>0.85</v>
      </c>
      <c r="I83" s="19">
        <v>40.799999999999997</v>
      </c>
    </row>
    <row r="84" spans="1:9" x14ac:dyDescent="0.3">
      <c r="A84" s="1">
        <v>561902</v>
      </c>
      <c r="B84" s="2">
        <v>43677</v>
      </c>
      <c r="C84" t="s">
        <v>13</v>
      </c>
      <c r="D84" s="1">
        <v>17404</v>
      </c>
      <c r="E84" s="1">
        <v>21260</v>
      </c>
      <c r="F84" t="str">
        <f>VLOOKUP(Orders[[#This Row],[Product ID]],Products[],2,0)</f>
        <v>First Aid Tin</v>
      </c>
      <c r="G84" s="1">
        <v>48</v>
      </c>
      <c r="H84" s="19">
        <v>3.25</v>
      </c>
      <c r="I84" s="19">
        <v>156</v>
      </c>
    </row>
    <row r="85" spans="1:9" x14ac:dyDescent="0.3">
      <c r="A85" s="1">
        <v>562605</v>
      </c>
      <c r="B85" s="2">
        <v>43685</v>
      </c>
      <c r="C85" t="s">
        <v>5</v>
      </c>
      <c r="D85" s="1">
        <v>12530</v>
      </c>
      <c r="E85" s="1">
        <v>20713</v>
      </c>
      <c r="F85" t="str">
        <f>VLOOKUP(Orders[[#This Row],[Product ID]],Products[],2,0)</f>
        <v>Jumbo Bag Owls</v>
      </c>
      <c r="G85" s="1">
        <v>10</v>
      </c>
      <c r="H85" s="19">
        <v>2.08</v>
      </c>
      <c r="I85" s="19">
        <v>20.8</v>
      </c>
    </row>
    <row r="86" spans="1:9" x14ac:dyDescent="0.3">
      <c r="A86" s="1">
        <v>562789</v>
      </c>
      <c r="B86" s="2">
        <v>43686</v>
      </c>
      <c r="C86" t="s">
        <v>4</v>
      </c>
      <c r="D86" s="1">
        <v>14646</v>
      </c>
      <c r="E86" s="1">
        <v>20713</v>
      </c>
      <c r="F86" t="str">
        <f>VLOOKUP(Orders[[#This Row],[Product ID]],Products[],2,0)</f>
        <v>Jumbo Bag Owls</v>
      </c>
      <c r="G86" s="1">
        <v>100</v>
      </c>
      <c r="H86" s="19">
        <v>1.79</v>
      </c>
      <c r="I86" s="19">
        <v>179</v>
      </c>
    </row>
    <row r="87" spans="1:9" x14ac:dyDescent="0.3">
      <c r="A87" s="1">
        <v>563749</v>
      </c>
      <c r="B87" s="2">
        <v>43696</v>
      </c>
      <c r="C87" t="s">
        <v>15</v>
      </c>
      <c r="D87" s="1">
        <v>12360</v>
      </c>
      <c r="E87" s="1">
        <v>20713</v>
      </c>
      <c r="F87" t="str">
        <f>VLOOKUP(Orders[[#This Row],[Product ID]],Products[],2,0)</f>
        <v>Jumbo Bag Owls</v>
      </c>
      <c r="G87" s="1">
        <v>10</v>
      </c>
      <c r="H87" s="19">
        <v>2.08</v>
      </c>
      <c r="I87" s="19">
        <v>20.8</v>
      </c>
    </row>
    <row r="88" spans="1:9" x14ac:dyDescent="0.3">
      <c r="A88" s="1">
        <v>563756</v>
      </c>
      <c r="B88" s="2">
        <v>43696</v>
      </c>
      <c r="C88" t="s">
        <v>7</v>
      </c>
      <c r="D88" s="1">
        <v>12418</v>
      </c>
      <c r="E88" s="1">
        <v>21888</v>
      </c>
      <c r="F88" t="str">
        <f>VLOOKUP(Orders[[#This Row],[Product ID]],Products[],2,0)</f>
        <v>Bingo Set</v>
      </c>
      <c r="G88" s="1">
        <v>4</v>
      </c>
      <c r="H88" s="19">
        <v>3.75</v>
      </c>
      <c r="I88" s="19">
        <v>15</v>
      </c>
    </row>
    <row r="89" spans="1:9" x14ac:dyDescent="0.3">
      <c r="A89" s="1">
        <v>563808</v>
      </c>
      <c r="B89" s="2">
        <v>43696</v>
      </c>
      <c r="C89" t="s">
        <v>5</v>
      </c>
      <c r="D89" s="1">
        <v>12626</v>
      </c>
      <c r="E89" s="1">
        <v>20713</v>
      </c>
      <c r="F89" t="str">
        <f>VLOOKUP(Orders[[#This Row],[Product ID]],Products[],2,0)</f>
        <v>Jumbo Bag Owls</v>
      </c>
      <c r="G89" s="1">
        <v>20</v>
      </c>
      <c r="H89" s="19">
        <v>2.08</v>
      </c>
      <c r="I89" s="19">
        <v>41.6</v>
      </c>
    </row>
    <row r="90" spans="1:9" x14ac:dyDescent="0.3">
      <c r="A90" s="1">
        <v>563950</v>
      </c>
      <c r="B90" s="2">
        <v>43699</v>
      </c>
      <c r="C90" t="s">
        <v>5</v>
      </c>
      <c r="D90" s="1">
        <v>12471</v>
      </c>
      <c r="E90" s="1">
        <v>22741</v>
      </c>
      <c r="F90" t="str">
        <f>VLOOKUP(Orders[[#This Row],[Product ID]],Products[],2,0)</f>
        <v>Funky Diva Pen</v>
      </c>
      <c r="G90" s="1">
        <v>96</v>
      </c>
      <c r="H90" s="19">
        <v>0.85</v>
      </c>
      <c r="I90" s="19">
        <v>81.599999999999994</v>
      </c>
    </row>
    <row r="91" spans="1:9" x14ac:dyDescent="0.3">
      <c r="A91" s="1">
        <v>564140</v>
      </c>
      <c r="B91" s="2">
        <v>43700</v>
      </c>
      <c r="C91" t="s">
        <v>5</v>
      </c>
      <c r="D91" s="1">
        <v>12621</v>
      </c>
      <c r="E91" s="1">
        <v>21116</v>
      </c>
      <c r="F91" t="str">
        <f>VLOOKUP(Orders[[#This Row],[Product ID]],Products[],2,0)</f>
        <v>Owl Doorstop</v>
      </c>
      <c r="G91" s="1">
        <v>3</v>
      </c>
      <c r="H91" s="19">
        <v>4.95</v>
      </c>
      <c r="I91" s="19">
        <v>14.850000000000001</v>
      </c>
    </row>
    <row r="92" spans="1:9" x14ac:dyDescent="0.3">
      <c r="A92" s="1">
        <v>564328</v>
      </c>
      <c r="B92" s="2">
        <v>43701</v>
      </c>
      <c r="C92" t="s">
        <v>5</v>
      </c>
      <c r="D92" s="1">
        <v>12662</v>
      </c>
      <c r="E92" s="1">
        <v>20713</v>
      </c>
      <c r="F92" t="str">
        <f>VLOOKUP(Orders[[#This Row],[Product ID]],Products[],2,0)</f>
        <v>Jumbo Bag Owls</v>
      </c>
      <c r="G92" s="1">
        <v>10</v>
      </c>
      <c r="H92" s="19">
        <v>2.08</v>
      </c>
      <c r="I92" s="19">
        <v>20.8</v>
      </c>
    </row>
    <row r="93" spans="1:9" x14ac:dyDescent="0.3">
      <c r="A93" s="1">
        <v>564360</v>
      </c>
      <c r="B93" s="2">
        <v>43701</v>
      </c>
      <c r="C93" t="s">
        <v>5</v>
      </c>
      <c r="D93" s="1">
        <v>12471</v>
      </c>
      <c r="E93" s="1">
        <v>22741</v>
      </c>
      <c r="F93" t="str">
        <f>VLOOKUP(Orders[[#This Row],[Product ID]],Products[],2,0)</f>
        <v>Funky Diva Pen</v>
      </c>
      <c r="G93" s="1">
        <v>96</v>
      </c>
      <c r="H93" s="19">
        <v>0.85</v>
      </c>
      <c r="I93" s="19">
        <v>81.599999999999994</v>
      </c>
    </row>
    <row r="94" spans="1:9" x14ac:dyDescent="0.3">
      <c r="A94" s="1">
        <v>564438</v>
      </c>
      <c r="B94" s="2">
        <v>43702</v>
      </c>
      <c r="C94" t="s">
        <v>2</v>
      </c>
      <c r="D94" s="1">
        <v>16628</v>
      </c>
      <c r="E94" s="1">
        <v>20713</v>
      </c>
      <c r="F94" t="str">
        <f>VLOOKUP(Orders[[#This Row],[Product ID]],Products[],2,0)</f>
        <v>Jumbo Bag Owls</v>
      </c>
      <c r="G94" s="1">
        <v>20</v>
      </c>
      <c r="H94" s="19">
        <v>2.08</v>
      </c>
      <c r="I94" s="19">
        <v>41.6</v>
      </c>
    </row>
    <row r="95" spans="1:9" x14ac:dyDescent="0.3">
      <c r="A95" s="1">
        <v>564479</v>
      </c>
      <c r="B95" s="2">
        <v>43702</v>
      </c>
      <c r="C95" t="s">
        <v>3</v>
      </c>
      <c r="D95" s="1">
        <v>12682</v>
      </c>
      <c r="E95" s="1">
        <v>22197</v>
      </c>
      <c r="F95" t="str">
        <f>VLOOKUP(Orders[[#This Row],[Product ID]],Products[],2,0)</f>
        <v>Popcorn Holder</v>
      </c>
      <c r="G95" s="1">
        <v>12</v>
      </c>
      <c r="H95" s="19">
        <v>0.85</v>
      </c>
      <c r="I95" s="19">
        <v>10.199999999999999</v>
      </c>
    </row>
    <row r="96" spans="1:9" x14ac:dyDescent="0.3">
      <c r="A96" s="1">
        <v>564539</v>
      </c>
      <c r="B96" s="2">
        <v>43702</v>
      </c>
      <c r="C96" t="s">
        <v>13</v>
      </c>
      <c r="D96" s="1">
        <v>12715</v>
      </c>
      <c r="E96" s="1">
        <v>20713</v>
      </c>
      <c r="F96" t="str">
        <f>VLOOKUP(Orders[[#This Row],[Product ID]],Products[],2,0)</f>
        <v>Jumbo Bag Owls</v>
      </c>
      <c r="G96" s="1">
        <v>10</v>
      </c>
      <c r="H96" s="19">
        <v>2.08</v>
      </c>
      <c r="I96" s="19">
        <v>20.8</v>
      </c>
    </row>
    <row r="97" spans="1:9" x14ac:dyDescent="0.3">
      <c r="A97" s="1">
        <v>564734</v>
      </c>
      <c r="B97" s="2">
        <v>43705</v>
      </c>
      <c r="C97" t="s">
        <v>8</v>
      </c>
      <c r="D97" s="1">
        <v>12484</v>
      </c>
      <c r="E97" s="1">
        <v>22197</v>
      </c>
      <c r="F97" t="str">
        <f>VLOOKUP(Orders[[#This Row],[Product ID]],Products[],2,0)</f>
        <v>Popcorn Holder</v>
      </c>
      <c r="G97" s="1">
        <v>18</v>
      </c>
      <c r="H97" s="19">
        <v>0.85</v>
      </c>
      <c r="I97" s="19">
        <v>15.299999999999999</v>
      </c>
    </row>
    <row r="98" spans="1:9" x14ac:dyDescent="0.3">
      <c r="A98" s="1">
        <v>564965</v>
      </c>
      <c r="B98" s="2">
        <v>43708</v>
      </c>
      <c r="C98" t="s">
        <v>2</v>
      </c>
      <c r="D98" s="1">
        <v>17677</v>
      </c>
      <c r="E98" s="1">
        <v>22197</v>
      </c>
      <c r="F98" t="str">
        <f>VLOOKUP(Orders[[#This Row],[Product ID]],Products[],2,0)</f>
        <v>Popcorn Holder</v>
      </c>
      <c r="G98" s="1">
        <v>12</v>
      </c>
      <c r="H98" s="19">
        <v>0.85</v>
      </c>
      <c r="I98" s="19">
        <v>10.199999999999999</v>
      </c>
    </row>
    <row r="99" spans="1:9" x14ac:dyDescent="0.3">
      <c r="A99" s="1">
        <v>565333</v>
      </c>
      <c r="B99" s="2">
        <v>43710</v>
      </c>
      <c r="C99" t="s">
        <v>14</v>
      </c>
      <c r="D99" s="1">
        <v>12375</v>
      </c>
      <c r="E99" s="1">
        <v>20713</v>
      </c>
      <c r="F99" t="str">
        <f>VLOOKUP(Orders[[#This Row],[Product ID]],Products[],2,0)</f>
        <v>Jumbo Bag Owls</v>
      </c>
      <c r="G99" s="1">
        <v>10</v>
      </c>
      <c r="H99" s="19">
        <v>2.08</v>
      </c>
      <c r="I99" s="19">
        <v>20.8</v>
      </c>
    </row>
    <row r="100" spans="1:9" x14ac:dyDescent="0.3">
      <c r="A100" s="1">
        <v>565386</v>
      </c>
      <c r="B100" s="2">
        <v>43710</v>
      </c>
      <c r="C100" t="s">
        <v>2</v>
      </c>
      <c r="D100" s="1">
        <v>17997</v>
      </c>
      <c r="E100" s="1">
        <v>22174</v>
      </c>
      <c r="F100" t="str">
        <f>VLOOKUP(Orders[[#This Row],[Product ID]],Products[],2,0)</f>
        <v>Photo Cube</v>
      </c>
      <c r="G100" s="1">
        <v>6</v>
      </c>
      <c r="H100" s="19">
        <v>1.65</v>
      </c>
      <c r="I100" s="19">
        <v>9.8999999999999986</v>
      </c>
    </row>
    <row r="101" spans="1:9" x14ac:dyDescent="0.3">
      <c r="A101" s="1">
        <v>565416</v>
      </c>
      <c r="B101" s="2">
        <v>43712</v>
      </c>
      <c r="C101" t="s">
        <v>5</v>
      </c>
      <c r="D101" s="1">
        <v>12710</v>
      </c>
      <c r="E101" s="1">
        <v>22197</v>
      </c>
      <c r="F101" t="str">
        <f>VLOOKUP(Orders[[#This Row],[Product ID]],Products[],2,0)</f>
        <v>Popcorn Holder</v>
      </c>
      <c r="G101" s="1">
        <v>12</v>
      </c>
      <c r="H101" s="19">
        <v>0.85</v>
      </c>
      <c r="I101" s="19">
        <v>10.199999999999999</v>
      </c>
    </row>
    <row r="102" spans="1:9" x14ac:dyDescent="0.3">
      <c r="A102" s="1">
        <v>565430</v>
      </c>
      <c r="B102" s="2">
        <v>43712</v>
      </c>
      <c r="C102" t="s">
        <v>5</v>
      </c>
      <c r="D102" s="1">
        <v>14335</v>
      </c>
      <c r="E102" s="1">
        <v>22174</v>
      </c>
      <c r="F102" t="str">
        <f>VLOOKUP(Orders[[#This Row],[Product ID]],Products[],2,0)</f>
        <v>Photo Cube</v>
      </c>
      <c r="G102" s="1">
        <v>12</v>
      </c>
      <c r="H102" s="19">
        <v>1.65</v>
      </c>
      <c r="I102" s="19">
        <v>19.799999999999997</v>
      </c>
    </row>
    <row r="103" spans="1:9" x14ac:dyDescent="0.3">
      <c r="A103" s="1">
        <v>565519</v>
      </c>
      <c r="B103" s="2">
        <v>43713</v>
      </c>
      <c r="C103" t="s">
        <v>8</v>
      </c>
      <c r="D103" s="1">
        <v>12502</v>
      </c>
      <c r="E103" s="1">
        <v>22741</v>
      </c>
      <c r="F103" t="str">
        <f>VLOOKUP(Orders[[#This Row],[Product ID]],Products[],2,0)</f>
        <v>Funky Diva Pen</v>
      </c>
      <c r="G103" s="1">
        <v>48</v>
      </c>
      <c r="H103" s="19">
        <v>0.85</v>
      </c>
      <c r="I103" s="19">
        <v>40.799999999999997</v>
      </c>
    </row>
    <row r="104" spans="1:9" x14ac:dyDescent="0.3">
      <c r="A104" s="1">
        <v>565765</v>
      </c>
      <c r="B104" s="2">
        <v>43714</v>
      </c>
      <c r="C104" t="s">
        <v>5</v>
      </c>
      <c r="D104" s="1">
        <v>12526</v>
      </c>
      <c r="E104" s="1">
        <v>20713</v>
      </c>
      <c r="F104" t="str">
        <f>VLOOKUP(Orders[[#This Row],[Product ID]],Products[],2,0)</f>
        <v>Jumbo Bag Owls</v>
      </c>
      <c r="G104" s="1">
        <v>10</v>
      </c>
      <c r="H104" s="19">
        <v>2.08</v>
      </c>
      <c r="I104" s="19">
        <v>20.8</v>
      </c>
    </row>
    <row r="105" spans="1:9" x14ac:dyDescent="0.3">
      <c r="A105" s="1">
        <v>565854</v>
      </c>
      <c r="B105" s="2">
        <v>43715</v>
      </c>
      <c r="C105" t="s">
        <v>3</v>
      </c>
      <c r="D105" s="1">
        <v>12490</v>
      </c>
      <c r="E105" s="1">
        <v>22197</v>
      </c>
      <c r="F105" t="str">
        <f>VLOOKUP(Orders[[#This Row],[Product ID]],Products[],2,0)</f>
        <v>Popcorn Holder</v>
      </c>
      <c r="G105" s="1">
        <v>36</v>
      </c>
      <c r="H105" s="19">
        <v>0.85</v>
      </c>
      <c r="I105" s="19">
        <v>30.599999999999998</v>
      </c>
    </row>
    <row r="106" spans="1:9" x14ac:dyDescent="0.3">
      <c r="A106" s="1">
        <v>565865</v>
      </c>
      <c r="B106" s="2">
        <v>43715</v>
      </c>
      <c r="C106" t="s">
        <v>3</v>
      </c>
      <c r="D106" s="1">
        <v>12637</v>
      </c>
      <c r="E106" s="1">
        <v>22174</v>
      </c>
      <c r="F106" t="str">
        <f>VLOOKUP(Orders[[#This Row],[Product ID]],Products[],2,0)</f>
        <v>Photo Cube</v>
      </c>
      <c r="G106" s="1">
        <v>12</v>
      </c>
      <c r="H106" s="19">
        <v>1.65</v>
      </c>
      <c r="I106" s="19">
        <v>19.799999999999997</v>
      </c>
    </row>
    <row r="107" spans="1:9" x14ac:dyDescent="0.3">
      <c r="A107" s="1">
        <v>565930</v>
      </c>
      <c r="B107" s="2">
        <v>43716</v>
      </c>
      <c r="C107" t="s">
        <v>3</v>
      </c>
      <c r="D107" s="1">
        <v>12685</v>
      </c>
      <c r="E107" s="1">
        <v>22174</v>
      </c>
      <c r="F107" t="str">
        <f>VLOOKUP(Orders[[#This Row],[Product ID]],Products[],2,0)</f>
        <v>Photo Cube</v>
      </c>
      <c r="G107" s="1">
        <v>12</v>
      </c>
      <c r="H107" s="19">
        <v>1.65</v>
      </c>
      <c r="I107" s="19">
        <v>19.799999999999997</v>
      </c>
    </row>
    <row r="108" spans="1:9" x14ac:dyDescent="0.3">
      <c r="A108" s="1">
        <v>565967</v>
      </c>
      <c r="B108" s="2">
        <v>43716</v>
      </c>
      <c r="C108" t="s">
        <v>4</v>
      </c>
      <c r="D108" s="1">
        <v>14646</v>
      </c>
      <c r="E108" s="1">
        <v>20713</v>
      </c>
      <c r="F108" t="str">
        <f>VLOOKUP(Orders[[#This Row],[Product ID]],Products[],2,0)</f>
        <v>Jumbo Bag Owls</v>
      </c>
      <c r="G108" s="1">
        <v>10</v>
      </c>
      <c r="H108" s="19">
        <v>2.08</v>
      </c>
      <c r="I108" s="19">
        <v>20.8</v>
      </c>
    </row>
    <row r="109" spans="1:9" x14ac:dyDescent="0.3">
      <c r="A109" s="1">
        <v>565967</v>
      </c>
      <c r="B109" s="2">
        <v>43716</v>
      </c>
      <c r="C109" t="s">
        <v>4</v>
      </c>
      <c r="D109" s="1">
        <v>14646</v>
      </c>
      <c r="E109" s="1">
        <v>22653</v>
      </c>
      <c r="F109" t="str">
        <f>VLOOKUP(Orders[[#This Row],[Product ID]],Products[],2,0)</f>
        <v xml:space="preserve">Button Box </v>
      </c>
      <c r="G109" s="1">
        <v>20</v>
      </c>
      <c r="H109" s="19">
        <v>1.95</v>
      </c>
      <c r="I109" s="19">
        <v>39</v>
      </c>
    </row>
    <row r="110" spans="1:9" x14ac:dyDescent="0.3">
      <c r="A110" s="1">
        <v>566076</v>
      </c>
      <c r="B110" s="2">
        <v>43717</v>
      </c>
      <c r="C110" t="s">
        <v>11</v>
      </c>
      <c r="D110" s="1">
        <v>12449</v>
      </c>
      <c r="E110" s="1">
        <v>21888</v>
      </c>
      <c r="F110" t="str">
        <f>VLOOKUP(Orders[[#This Row],[Product ID]],Products[],2,0)</f>
        <v>Bingo Set</v>
      </c>
      <c r="G110" s="1">
        <v>4</v>
      </c>
      <c r="H110" s="19">
        <v>3.75</v>
      </c>
      <c r="I110" s="19">
        <v>15</v>
      </c>
    </row>
    <row r="111" spans="1:9" x14ac:dyDescent="0.3">
      <c r="A111" s="1">
        <v>566163</v>
      </c>
      <c r="B111" s="2">
        <v>43717</v>
      </c>
      <c r="C111" t="s">
        <v>3</v>
      </c>
      <c r="D111" s="1">
        <v>12637</v>
      </c>
      <c r="E111" s="1">
        <v>22174</v>
      </c>
      <c r="F111" t="str">
        <f>VLOOKUP(Orders[[#This Row],[Product ID]],Products[],2,0)</f>
        <v>Photo Cube</v>
      </c>
      <c r="G111" s="1">
        <v>12</v>
      </c>
      <c r="H111" s="19">
        <v>1.65</v>
      </c>
      <c r="I111" s="19">
        <v>19.799999999999997</v>
      </c>
    </row>
    <row r="112" spans="1:9" x14ac:dyDescent="0.3">
      <c r="A112" s="1">
        <v>566195</v>
      </c>
      <c r="B112" s="2">
        <v>43717</v>
      </c>
      <c r="C112" t="s">
        <v>6</v>
      </c>
      <c r="D112" s="1">
        <v>12433</v>
      </c>
      <c r="E112" s="1">
        <v>22197</v>
      </c>
      <c r="F112" t="str">
        <f>VLOOKUP(Orders[[#This Row],[Product ID]],Products[],2,0)</f>
        <v>Popcorn Holder</v>
      </c>
      <c r="G112" s="1">
        <v>100</v>
      </c>
      <c r="H112" s="19">
        <v>0.72</v>
      </c>
      <c r="I112" s="19">
        <v>72</v>
      </c>
    </row>
    <row r="113" spans="1:9" x14ac:dyDescent="0.3">
      <c r="A113" s="1">
        <v>566567</v>
      </c>
      <c r="B113" s="2">
        <v>43721</v>
      </c>
      <c r="C113" t="s">
        <v>2</v>
      </c>
      <c r="D113" s="1">
        <v>16161</v>
      </c>
      <c r="E113" s="1">
        <v>20713</v>
      </c>
      <c r="F113" t="str">
        <f>VLOOKUP(Orders[[#This Row],[Product ID]],Products[],2,0)</f>
        <v>Jumbo Bag Owls</v>
      </c>
      <c r="G113" s="1">
        <v>10</v>
      </c>
      <c r="H113" s="19">
        <v>2.08</v>
      </c>
      <c r="I113" s="19">
        <v>20.8</v>
      </c>
    </row>
    <row r="114" spans="1:9" x14ac:dyDescent="0.3">
      <c r="A114" s="1">
        <v>566721</v>
      </c>
      <c r="B114" s="2">
        <v>43722</v>
      </c>
      <c r="C114" t="s">
        <v>2</v>
      </c>
      <c r="D114" s="1">
        <v>12921</v>
      </c>
      <c r="E114" s="1">
        <v>22653</v>
      </c>
      <c r="F114" t="str">
        <f>VLOOKUP(Orders[[#This Row],[Product ID]],Products[],2,0)</f>
        <v xml:space="preserve">Button Box </v>
      </c>
      <c r="G114" s="1">
        <v>10</v>
      </c>
      <c r="H114" s="19">
        <v>1.95</v>
      </c>
      <c r="I114" s="19">
        <v>19.5</v>
      </c>
    </row>
    <row r="115" spans="1:9" x14ac:dyDescent="0.3">
      <c r="A115" s="1">
        <v>567185</v>
      </c>
      <c r="B115" s="2">
        <v>43726</v>
      </c>
      <c r="C115" t="s">
        <v>2</v>
      </c>
      <c r="D115" s="1">
        <v>16370</v>
      </c>
      <c r="E115" s="1">
        <v>20713</v>
      </c>
      <c r="F115" t="str">
        <f>VLOOKUP(Orders[[#This Row],[Product ID]],Products[],2,0)</f>
        <v>Jumbo Bag Owls</v>
      </c>
      <c r="G115" s="1">
        <v>4</v>
      </c>
      <c r="H115" s="19">
        <v>2.08</v>
      </c>
      <c r="I115" s="19">
        <v>8.32</v>
      </c>
    </row>
    <row r="116" spans="1:9" x14ac:dyDescent="0.3">
      <c r="A116" s="1">
        <v>567280</v>
      </c>
      <c r="B116" s="2">
        <v>43727</v>
      </c>
      <c r="C116" t="s">
        <v>4</v>
      </c>
      <c r="D116" s="1">
        <v>14646</v>
      </c>
      <c r="E116" s="1">
        <v>20713</v>
      </c>
      <c r="F116" t="str">
        <f>VLOOKUP(Orders[[#This Row],[Product ID]],Products[],2,0)</f>
        <v>Jumbo Bag Owls</v>
      </c>
      <c r="G116" s="1">
        <v>100</v>
      </c>
      <c r="H116" s="19">
        <v>1.79</v>
      </c>
      <c r="I116" s="19">
        <v>179</v>
      </c>
    </row>
    <row r="117" spans="1:9" x14ac:dyDescent="0.3">
      <c r="A117" s="1">
        <v>567526</v>
      </c>
      <c r="B117" s="2">
        <v>43729</v>
      </c>
      <c r="C117" t="s">
        <v>12</v>
      </c>
      <c r="D117" s="1">
        <v>12435</v>
      </c>
      <c r="E117" s="1">
        <v>20713</v>
      </c>
      <c r="F117" t="str">
        <f>VLOOKUP(Orders[[#This Row],[Product ID]],Products[],2,0)</f>
        <v>Jumbo Bag Owls</v>
      </c>
      <c r="G117" s="1">
        <v>100</v>
      </c>
      <c r="H117" s="19">
        <v>1.79</v>
      </c>
      <c r="I117" s="19">
        <v>179</v>
      </c>
    </row>
    <row r="118" spans="1:9" x14ac:dyDescent="0.3">
      <c r="A118" s="1">
        <v>567552</v>
      </c>
      <c r="B118" s="2">
        <v>43729</v>
      </c>
      <c r="C118" t="s">
        <v>3</v>
      </c>
      <c r="D118" s="1">
        <v>12583</v>
      </c>
      <c r="E118" s="1">
        <v>22197</v>
      </c>
      <c r="F118" t="str">
        <f>VLOOKUP(Orders[[#This Row],[Product ID]],Products[],2,0)</f>
        <v>Popcorn Holder</v>
      </c>
      <c r="G118" s="1">
        <v>24</v>
      </c>
      <c r="H118" s="19">
        <v>0.85</v>
      </c>
      <c r="I118" s="19">
        <v>20.399999999999999</v>
      </c>
    </row>
    <row r="119" spans="1:9" x14ac:dyDescent="0.3">
      <c r="A119" s="1">
        <v>567795</v>
      </c>
      <c r="B119" s="2">
        <v>43730</v>
      </c>
      <c r="C119" t="s">
        <v>4</v>
      </c>
      <c r="D119" s="1">
        <v>14646</v>
      </c>
      <c r="E119" s="1">
        <v>20713</v>
      </c>
      <c r="F119" t="str">
        <f>VLOOKUP(Orders[[#This Row],[Product ID]],Products[],2,0)</f>
        <v>Jumbo Bag Owls</v>
      </c>
      <c r="G119" s="1">
        <v>100</v>
      </c>
      <c r="H119" s="19">
        <v>1.79</v>
      </c>
      <c r="I119" s="19">
        <v>179</v>
      </c>
    </row>
    <row r="120" spans="1:9" x14ac:dyDescent="0.3">
      <c r="A120" s="1">
        <v>567915</v>
      </c>
      <c r="B120" s="2">
        <v>43730</v>
      </c>
      <c r="C120" t="s">
        <v>3</v>
      </c>
      <c r="D120" s="1">
        <v>12579</v>
      </c>
      <c r="E120" s="1">
        <v>62018</v>
      </c>
      <c r="F120" t="str">
        <f>VLOOKUP(Orders[[#This Row],[Product ID]],Products[],2,0)</f>
        <v xml:space="preserve">Sombrero </v>
      </c>
      <c r="G120" s="1">
        <v>6</v>
      </c>
      <c r="H120" s="19">
        <v>1.95</v>
      </c>
      <c r="I120" s="19">
        <v>11.7</v>
      </c>
    </row>
    <row r="121" spans="1:9" x14ac:dyDescent="0.3">
      <c r="A121" s="1">
        <v>567924</v>
      </c>
      <c r="B121" s="2">
        <v>43730</v>
      </c>
      <c r="C121" t="s">
        <v>5</v>
      </c>
      <c r="D121" s="1">
        <v>12471</v>
      </c>
      <c r="E121" s="1">
        <v>22741</v>
      </c>
      <c r="F121" t="str">
        <f>VLOOKUP(Orders[[#This Row],[Product ID]],Products[],2,0)</f>
        <v>Funky Diva Pen</v>
      </c>
      <c r="G121" s="1">
        <v>48</v>
      </c>
      <c r="H121" s="19">
        <v>0.85</v>
      </c>
      <c r="I121" s="19">
        <v>40.799999999999997</v>
      </c>
    </row>
    <row r="122" spans="1:9" x14ac:dyDescent="0.3">
      <c r="A122" s="1">
        <v>567928</v>
      </c>
      <c r="B122" s="2">
        <v>43730</v>
      </c>
      <c r="C122" t="s">
        <v>11</v>
      </c>
      <c r="D122" s="1">
        <v>12380</v>
      </c>
      <c r="E122" s="1">
        <v>20713</v>
      </c>
      <c r="F122" t="str">
        <f>VLOOKUP(Orders[[#This Row],[Product ID]],Products[],2,0)</f>
        <v>Jumbo Bag Owls</v>
      </c>
      <c r="G122" s="1">
        <v>10</v>
      </c>
      <c r="H122" s="19">
        <v>2.08</v>
      </c>
      <c r="I122" s="19">
        <v>20.8</v>
      </c>
    </row>
    <row r="123" spans="1:9" x14ac:dyDescent="0.3">
      <c r="A123" s="1">
        <v>567938</v>
      </c>
      <c r="B123" s="2">
        <v>43730</v>
      </c>
      <c r="C123" t="s">
        <v>14</v>
      </c>
      <c r="D123" s="1">
        <v>12704</v>
      </c>
      <c r="E123" s="1">
        <v>22694</v>
      </c>
      <c r="F123" t="str">
        <f>VLOOKUP(Orders[[#This Row],[Product ID]],Products[],2,0)</f>
        <v xml:space="preserve">Wicker Star </v>
      </c>
      <c r="G123" s="1">
        <v>6</v>
      </c>
      <c r="H123" s="19">
        <v>2.1</v>
      </c>
      <c r="I123" s="19">
        <v>12.600000000000001</v>
      </c>
    </row>
    <row r="124" spans="1:9" x14ac:dyDescent="0.3">
      <c r="A124" s="1">
        <v>568040</v>
      </c>
      <c r="B124" s="2">
        <v>43731</v>
      </c>
      <c r="C124" t="s">
        <v>3</v>
      </c>
      <c r="D124" s="1">
        <v>12681</v>
      </c>
      <c r="E124" s="1">
        <v>22197</v>
      </c>
      <c r="F124" t="str">
        <f>VLOOKUP(Orders[[#This Row],[Product ID]],Products[],2,0)</f>
        <v>Popcorn Holder</v>
      </c>
      <c r="G124" s="1">
        <v>12</v>
      </c>
      <c r="H124" s="19">
        <v>0.85</v>
      </c>
      <c r="I124" s="19">
        <v>10.199999999999999</v>
      </c>
    </row>
    <row r="125" spans="1:9" x14ac:dyDescent="0.3">
      <c r="A125" s="1">
        <v>568179</v>
      </c>
      <c r="B125" s="2">
        <v>43733</v>
      </c>
      <c r="C125" t="s">
        <v>8</v>
      </c>
      <c r="D125" s="1">
        <v>12545</v>
      </c>
      <c r="E125" s="1">
        <v>22197</v>
      </c>
      <c r="F125" t="str">
        <f>VLOOKUP(Orders[[#This Row],[Product ID]],Products[],2,0)</f>
        <v>Popcorn Holder</v>
      </c>
      <c r="G125" s="1">
        <v>12</v>
      </c>
      <c r="H125" s="19">
        <v>0.85</v>
      </c>
      <c r="I125" s="19">
        <v>10.199999999999999</v>
      </c>
    </row>
    <row r="126" spans="1:9" x14ac:dyDescent="0.3">
      <c r="A126" s="1">
        <v>568650</v>
      </c>
      <c r="B126" s="2">
        <v>43736</v>
      </c>
      <c r="C126" t="s">
        <v>7</v>
      </c>
      <c r="D126" s="1">
        <v>13505</v>
      </c>
      <c r="E126" s="1">
        <v>22653</v>
      </c>
      <c r="F126" t="str">
        <f>VLOOKUP(Orders[[#This Row],[Product ID]],Products[],2,0)</f>
        <v xml:space="preserve">Button Box </v>
      </c>
      <c r="G126" s="1">
        <v>10</v>
      </c>
      <c r="H126" s="19">
        <v>1.95</v>
      </c>
      <c r="I126" s="19">
        <v>19.5</v>
      </c>
    </row>
    <row r="127" spans="1:9" x14ac:dyDescent="0.3">
      <c r="A127" s="1">
        <v>568650</v>
      </c>
      <c r="B127" s="2">
        <v>43736</v>
      </c>
      <c r="C127" t="s">
        <v>7</v>
      </c>
      <c r="D127" s="1">
        <v>13505</v>
      </c>
      <c r="E127" s="1">
        <v>22174</v>
      </c>
      <c r="F127" t="str">
        <f>VLOOKUP(Orders[[#This Row],[Product ID]],Products[],2,0)</f>
        <v>Photo Cube</v>
      </c>
      <c r="G127" s="1">
        <v>12</v>
      </c>
      <c r="H127" s="19">
        <v>1.65</v>
      </c>
      <c r="I127" s="19">
        <v>19.799999999999997</v>
      </c>
    </row>
    <row r="128" spans="1:9" x14ac:dyDescent="0.3">
      <c r="A128" s="1">
        <v>568953</v>
      </c>
      <c r="B128" s="2">
        <v>43737</v>
      </c>
      <c r="C128" t="s">
        <v>3</v>
      </c>
      <c r="D128" s="1">
        <v>12728</v>
      </c>
      <c r="E128" s="1">
        <v>22197</v>
      </c>
      <c r="F128" t="str">
        <f>VLOOKUP(Orders[[#This Row],[Product ID]],Products[],2,0)</f>
        <v>Popcorn Holder</v>
      </c>
      <c r="G128" s="1">
        <v>12</v>
      </c>
      <c r="H128" s="19">
        <v>0.85</v>
      </c>
      <c r="I128" s="19">
        <v>10.199999999999999</v>
      </c>
    </row>
    <row r="129" spans="1:9" x14ac:dyDescent="0.3">
      <c r="A129" s="1">
        <v>568953</v>
      </c>
      <c r="B129" s="2">
        <v>43737</v>
      </c>
      <c r="C129" t="s">
        <v>3</v>
      </c>
      <c r="D129" s="1">
        <v>12728</v>
      </c>
      <c r="E129" s="1">
        <v>22741</v>
      </c>
      <c r="F129" t="str">
        <f>VLOOKUP(Orders[[#This Row],[Product ID]],Products[],2,0)</f>
        <v>Funky Diva Pen</v>
      </c>
      <c r="G129" s="1">
        <v>48</v>
      </c>
      <c r="H129" s="19">
        <v>0.85</v>
      </c>
      <c r="I129" s="19">
        <v>40.799999999999997</v>
      </c>
    </row>
    <row r="130" spans="1:9" x14ac:dyDescent="0.3">
      <c r="A130" s="1">
        <v>569332</v>
      </c>
      <c r="B130" s="2">
        <v>43741</v>
      </c>
      <c r="C130" t="s">
        <v>3</v>
      </c>
      <c r="D130" s="1">
        <v>12637</v>
      </c>
      <c r="E130" s="1">
        <v>20713</v>
      </c>
      <c r="F130" t="str">
        <f>VLOOKUP(Orders[[#This Row],[Product ID]],Products[],2,0)</f>
        <v>Jumbo Bag Owls</v>
      </c>
      <c r="G130" s="1">
        <v>3</v>
      </c>
      <c r="H130" s="19">
        <v>2.08</v>
      </c>
      <c r="I130" s="19">
        <v>6.24</v>
      </c>
    </row>
    <row r="131" spans="1:9" x14ac:dyDescent="0.3">
      <c r="A131" s="1">
        <v>569486</v>
      </c>
      <c r="B131" s="2">
        <v>43742</v>
      </c>
      <c r="C131" t="s">
        <v>2</v>
      </c>
      <c r="D131" s="1">
        <v>15339</v>
      </c>
      <c r="E131" s="1">
        <v>22694</v>
      </c>
      <c r="F131" t="str">
        <f>VLOOKUP(Orders[[#This Row],[Product ID]],Products[],2,0)</f>
        <v xml:space="preserve">Wicker Star </v>
      </c>
      <c r="G131" s="1">
        <v>2</v>
      </c>
      <c r="H131" s="19">
        <v>2.1</v>
      </c>
      <c r="I131" s="19">
        <v>4.2</v>
      </c>
    </row>
    <row r="132" spans="1:9" x14ac:dyDescent="0.3">
      <c r="A132" s="1">
        <v>569562</v>
      </c>
      <c r="B132" s="2">
        <v>43743</v>
      </c>
      <c r="C132" t="s">
        <v>5</v>
      </c>
      <c r="D132" s="1">
        <v>12720</v>
      </c>
      <c r="E132" s="1">
        <v>22197</v>
      </c>
      <c r="F132" t="str">
        <f>VLOOKUP(Orders[[#This Row],[Product ID]],Products[],2,0)</f>
        <v>Popcorn Holder</v>
      </c>
      <c r="G132" s="1">
        <v>12</v>
      </c>
      <c r="H132" s="19">
        <v>0.85</v>
      </c>
      <c r="I132" s="19">
        <v>10.199999999999999</v>
      </c>
    </row>
    <row r="133" spans="1:9" x14ac:dyDescent="0.3">
      <c r="A133" s="1">
        <v>569640</v>
      </c>
      <c r="B133" s="2">
        <v>43743</v>
      </c>
      <c r="C133" t="s">
        <v>5</v>
      </c>
      <c r="D133" s="1">
        <v>12471</v>
      </c>
      <c r="E133" s="1">
        <v>22741</v>
      </c>
      <c r="F133" t="str">
        <f>VLOOKUP(Orders[[#This Row],[Product ID]],Products[],2,0)</f>
        <v>Funky Diva Pen</v>
      </c>
      <c r="G133" s="1">
        <v>96</v>
      </c>
      <c r="H133" s="19">
        <v>0.85</v>
      </c>
      <c r="I133" s="19">
        <v>81.599999999999994</v>
      </c>
    </row>
    <row r="134" spans="1:9" x14ac:dyDescent="0.3">
      <c r="A134" s="1">
        <v>569653</v>
      </c>
      <c r="B134" s="2">
        <v>43743</v>
      </c>
      <c r="C134" t="s">
        <v>7</v>
      </c>
      <c r="D134" s="1">
        <v>12451</v>
      </c>
      <c r="E134" s="1">
        <v>20713</v>
      </c>
      <c r="F134" t="str">
        <f>VLOOKUP(Orders[[#This Row],[Product ID]],Products[],2,0)</f>
        <v>Jumbo Bag Owls</v>
      </c>
      <c r="G134" s="1">
        <v>10</v>
      </c>
      <c r="H134" s="19">
        <v>2.08</v>
      </c>
      <c r="I134" s="19">
        <v>20.8</v>
      </c>
    </row>
    <row r="135" spans="1:9" x14ac:dyDescent="0.3">
      <c r="A135" s="1">
        <v>569844</v>
      </c>
      <c r="B135" s="2">
        <v>43744</v>
      </c>
      <c r="C135" t="s">
        <v>5</v>
      </c>
      <c r="D135" s="1">
        <v>12626</v>
      </c>
      <c r="E135" s="1">
        <v>20713</v>
      </c>
      <c r="F135" t="str">
        <f>VLOOKUP(Orders[[#This Row],[Product ID]],Products[],2,0)</f>
        <v>Jumbo Bag Owls</v>
      </c>
      <c r="G135" s="1">
        <v>10</v>
      </c>
      <c r="H135" s="19">
        <v>2.08</v>
      </c>
      <c r="I135" s="19">
        <v>20.8</v>
      </c>
    </row>
    <row r="136" spans="1:9" x14ac:dyDescent="0.3">
      <c r="A136" s="1">
        <v>569848</v>
      </c>
      <c r="B136" s="2">
        <v>43744</v>
      </c>
      <c r="C136" t="s">
        <v>2</v>
      </c>
      <c r="D136" s="1">
        <v>16316</v>
      </c>
      <c r="E136" s="1">
        <v>22197</v>
      </c>
      <c r="F136" t="str">
        <f>VLOOKUP(Orders[[#This Row],[Product ID]],Products[],2,0)</f>
        <v>Popcorn Holder</v>
      </c>
      <c r="G136" s="1">
        <v>24</v>
      </c>
      <c r="H136" s="19">
        <v>0.85</v>
      </c>
      <c r="I136" s="19">
        <v>20.399999999999999</v>
      </c>
    </row>
    <row r="137" spans="1:9" x14ac:dyDescent="0.3">
      <c r="A137" s="1">
        <v>569860</v>
      </c>
      <c r="B137" s="2">
        <v>43744</v>
      </c>
      <c r="C137" t="s">
        <v>5</v>
      </c>
      <c r="D137" s="1">
        <v>13812</v>
      </c>
      <c r="E137" s="1">
        <v>22197</v>
      </c>
      <c r="F137" t="str">
        <f>VLOOKUP(Orders[[#This Row],[Product ID]],Products[],2,0)</f>
        <v>Popcorn Holder</v>
      </c>
      <c r="G137" s="1">
        <v>12</v>
      </c>
      <c r="H137" s="19">
        <v>0.85</v>
      </c>
      <c r="I137" s="19">
        <v>10.199999999999999</v>
      </c>
    </row>
    <row r="138" spans="1:9" x14ac:dyDescent="0.3">
      <c r="A138" s="1">
        <v>569866</v>
      </c>
      <c r="B138" s="2">
        <v>43744</v>
      </c>
      <c r="C138" t="s">
        <v>9</v>
      </c>
      <c r="D138" s="1">
        <v>12757</v>
      </c>
      <c r="E138" s="1">
        <v>20713</v>
      </c>
      <c r="F138" t="str">
        <f>VLOOKUP(Orders[[#This Row],[Product ID]],Products[],2,0)</f>
        <v>Jumbo Bag Owls</v>
      </c>
      <c r="G138" s="1">
        <v>10</v>
      </c>
      <c r="H138" s="19">
        <v>2.08</v>
      </c>
      <c r="I138" s="19">
        <v>20.8</v>
      </c>
    </row>
    <row r="139" spans="1:9" x14ac:dyDescent="0.3">
      <c r="A139" s="1">
        <v>569866</v>
      </c>
      <c r="B139" s="2">
        <v>43744</v>
      </c>
      <c r="C139" t="s">
        <v>9</v>
      </c>
      <c r="D139" s="1">
        <v>12757</v>
      </c>
      <c r="E139" s="1">
        <v>22741</v>
      </c>
      <c r="F139" t="str">
        <f>VLOOKUP(Orders[[#This Row],[Product ID]],Products[],2,0)</f>
        <v>Funky Diva Pen</v>
      </c>
      <c r="G139" s="1">
        <v>12</v>
      </c>
      <c r="H139" s="19">
        <v>0.85</v>
      </c>
      <c r="I139" s="19">
        <v>10.199999999999999</v>
      </c>
    </row>
    <row r="140" spans="1:9" x14ac:dyDescent="0.3">
      <c r="A140" s="1">
        <v>570249</v>
      </c>
      <c r="B140" s="2">
        <v>43748</v>
      </c>
      <c r="C140" t="s">
        <v>2</v>
      </c>
      <c r="D140" s="1">
        <v>17509</v>
      </c>
      <c r="E140" s="1">
        <v>21888</v>
      </c>
      <c r="F140" t="str">
        <f>VLOOKUP(Orders[[#This Row],[Product ID]],Products[],2,0)</f>
        <v>Bingo Set</v>
      </c>
      <c r="G140" s="1">
        <v>4</v>
      </c>
      <c r="H140" s="19">
        <v>3.75</v>
      </c>
      <c r="I140" s="19">
        <v>15</v>
      </c>
    </row>
    <row r="141" spans="1:9" x14ac:dyDescent="0.3">
      <c r="A141" s="1">
        <v>570653</v>
      </c>
      <c r="B141" s="2">
        <v>43749</v>
      </c>
      <c r="C141" t="s">
        <v>2</v>
      </c>
      <c r="D141" s="1">
        <v>14710</v>
      </c>
      <c r="E141" s="1">
        <v>22197</v>
      </c>
      <c r="F141" t="str">
        <f>VLOOKUP(Orders[[#This Row],[Product ID]],Products[],2,0)</f>
        <v>Popcorn Holder</v>
      </c>
      <c r="G141" s="1">
        <v>6</v>
      </c>
      <c r="H141" s="19">
        <v>0.85</v>
      </c>
      <c r="I141" s="19">
        <v>5.0999999999999996</v>
      </c>
    </row>
    <row r="142" spans="1:9" x14ac:dyDescent="0.3">
      <c r="A142" s="1">
        <v>570672</v>
      </c>
      <c r="B142" s="2">
        <v>43749</v>
      </c>
      <c r="C142" t="s">
        <v>3</v>
      </c>
      <c r="D142" s="1">
        <v>12536</v>
      </c>
      <c r="E142" s="1">
        <v>21888</v>
      </c>
      <c r="F142" t="str">
        <f>VLOOKUP(Orders[[#This Row],[Product ID]],Products[],2,0)</f>
        <v>Bingo Set</v>
      </c>
      <c r="G142" s="1">
        <v>4</v>
      </c>
      <c r="H142" s="19">
        <v>3.75</v>
      </c>
      <c r="I142" s="19">
        <v>15</v>
      </c>
    </row>
    <row r="143" spans="1:9" x14ac:dyDescent="0.3">
      <c r="A143" s="1">
        <v>570833</v>
      </c>
      <c r="B143" s="2">
        <v>43750</v>
      </c>
      <c r="C143" t="s">
        <v>2</v>
      </c>
      <c r="D143" s="1">
        <v>14834</v>
      </c>
      <c r="E143" s="1">
        <v>22197</v>
      </c>
      <c r="F143" t="str">
        <f>VLOOKUP(Orders[[#This Row],[Product ID]],Products[],2,0)</f>
        <v>Popcorn Holder</v>
      </c>
      <c r="G143" s="1">
        <v>24</v>
      </c>
      <c r="H143" s="19">
        <v>0.85</v>
      </c>
      <c r="I143" s="19">
        <v>20.399999999999999</v>
      </c>
    </row>
    <row r="144" spans="1:9" x14ac:dyDescent="0.3">
      <c r="A144" s="1">
        <v>570851</v>
      </c>
      <c r="B144" s="2">
        <v>43750</v>
      </c>
      <c r="C144" t="s">
        <v>3</v>
      </c>
      <c r="D144" s="1">
        <v>12583</v>
      </c>
      <c r="E144" s="1">
        <v>22197</v>
      </c>
      <c r="F144" t="str">
        <f>VLOOKUP(Orders[[#This Row],[Product ID]],Products[],2,0)</f>
        <v>Popcorn Holder</v>
      </c>
      <c r="G144" s="1">
        <v>12</v>
      </c>
      <c r="H144" s="19">
        <v>0.85</v>
      </c>
      <c r="I144" s="19">
        <v>10.199999999999999</v>
      </c>
    </row>
    <row r="145" spans="1:9" x14ac:dyDescent="0.3">
      <c r="A145" s="1">
        <v>570964</v>
      </c>
      <c r="B145" s="2">
        <v>43751</v>
      </c>
      <c r="C145" t="s">
        <v>9</v>
      </c>
      <c r="D145" s="1">
        <v>12766</v>
      </c>
      <c r="E145" s="1">
        <v>21888</v>
      </c>
      <c r="F145" t="str">
        <f>VLOOKUP(Orders[[#This Row],[Product ID]],Products[],2,0)</f>
        <v>Bingo Set</v>
      </c>
      <c r="G145" s="1">
        <v>4</v>
      </c>
      <c r="H145" s="19">
        <v>3.75</v>
      </c>
      <c r="I145" s="19">
        <v>15</v>
      </c>
    </row>
    <row r="146" spans="1:9" x14ac:dyDescent="0.3">
      <c r="A146" s="1">
        <v>571227</v>
      </c>
      <c r="B146" s="2">
        <v>43752</v>
      </c>
      <c r="C146" t="s">
        <v>5</v>
      </c>
      <c r="D146" s="1">
        <v>12477</v>
      </c>
      <c r="E146" s="1">
        <v>21116</v>
      </c>
      <c r="F146" t="str">
        <f>VLOOKUP(Orders[[#This Row],[Product ID]],Products[],2,0)</f>
        <v>Owl Doorstop</v>
      </c>
      <c r="G146" s="1">
        <v>6</v>
      </c>
      <c r="H146" s="19">
        <v>4.95</v>
      </c>
      <c r="I146" s="19">
        <v>29.700000000000003</v>
      </c>
    </row>
    <row r="147" spans="1:9" x14ac:dyDescent="0.3">
      <c r="A147" s="1">
        <v>571280</v>
      </c>
      <c r="B147" s="2">
        <v>43754</v>
      </c>
      <c r="C147" t="s">
        <v>2</v>
      </c>
      <c r="D147" s="1">
        <v>18122</v>
      </c>
      <c r="E147" s="1">
        <v>22197</v>
      </c>
      <c r="F147" t="str">
        <f>VLOOKUP(Orders[[#This Row],[Product ID]],Products[],2,0)</f>
        <v>Popcorn Holder</v>
      </c>
      <c r="G147" s="1">
        <v>6</v>
      </c>
      <c r="H147" s="19">
        <v>0.85</v>
      </c>
      <c r="I147" s="19">
        <v>5.0999999999999996</v>
      </c>
    </row>
    <row r="148" spans="1:9" x14ac:dyDescent="0.3">
      <c r="A148" s="1">
        <v>571328</v>
      </c>
      <c r="B148" s="2">
        <v>43755</v>
      </c>
      <c r="C148" t="s">
        <v>5</v>
      </c>
      <c r="D148" s="1">
        <v>12473</v>
      </c>
      <c r="E148" s="1">
        <v>22741</v>
      </c>
      <c r="F148" t="str">
        <f>VLOOKUP(Orders[[#This Row],[Product ID]],Products[],2,0)</f>
        <v>Funky Diva Pen</v>
      </c>
      <c r="G148" s="1">
        <v>48</v>
      </c>
      <c r="H148" s="19">
        <v>0.85</v>
      </c>
      <c r="I148" s="19">
        <v>40.799999999999997</v>
      </c>
    </row>
    <row r="149" spans="1:9" x14ac:dyDescent="0.3">
      <c r="A149" s="1">
        <v>571670</v>
      </c>
      <c r="B149" s="2">
        <v>43756</v>
      </c>
      <c r="C149" t="s">
        <v>10</v>
      </c>
      <c r="D149" s="1">
        <v>12611</v>
      </c>
      <c r="E149" s="1">
        <v>22197</v>
      </c>
      <c r="F149" t="str">
        <f>VLOOKUP(Orders[[#This Row],[Product ID]],Products[],2,0)</f>
        <v>Popcorn Holder</v>
      </c>
      <c r="G149" s="1">
        <v>12</v>
      </c>
      <c r="H149" s="19">
        <v>0.85</v>
      </c>
      <c r="I149" s="19">
        <v>10.199999999999999</v>
      </c>
    </row>
    <row r="150" spans="1:9" x14ac:dyDescent="0.3">
      <c r="A150" s="1">
        <v>571904</v>
      </c>
      <c r="B150" s="2">
        <v>43757</v>
      </c>
      <c r="C150" t="s">
        <v>5</v>
      </c>
      <c r="D150" s="1">
        <v>12522</v>
      </c>
      <c r="E150" s="1">
        <v>21116</v>
      </c>
      <c r="F150" t="str">
        <f>VLOOKUP(Orders[[#This Row],[Product ID]],Products[],2,0)</f>
        <v>Owl Doorstop</v>
      </c>
      <c r="G150" s="1">
        <v>3</v>
      </c>
      <c r="H150" s="19">
        <v>4.95</v>
      </c>
      <c r="I150" s="19">
        <v>14.850000000000001</v>
      </c>
    </row>
    <row r="151" spans="1:9" x14ac:dyDescent="0.3">
      <c r="A151" s="1">
        <v>572058</v>
      </c>
      <c r="B151" s="2">
        <v>43758</v>
      </c>
      <c r="C151" t="s">
        <v>2</v>
      </c>
      <c r="D151" s="1">
        <v>18252</v>
      </c>
      <c r="E151" s="1">
        <v>23417</v>
      </c>
      <c r="F151" t="str">
        <f>VLOOKUP(Orders[[#This Row],[Product ID]],Products[],2,0)</f>
        <v>Bathroom Hook</v>
      </c>
      <c r="G151" s="1">
        <v>1</v>
      </c>
      <c r="H151" s="19">
        <v>1.65</v>
      </c>
      <c r="I151" s="19">
        <v>1.65</v>
      </c>
    </row>
    <row r="152" spans="1:9" x14ac:dyDescent="0.3">
      <c r="A152" s="1">
        <v>572065</v>
      </c>
      <c r="B152" s="2">
        <v>43758</v>
      </c>
      <c r="C152" t="s">
        <v>8</v>
      </c>
      <c r="D152" s="1">
        <v>12556</v>
      </c>
      <c r="E152" s="1">
        <v>22197</v>
      </c>
      <c r="F152" t="str">
        <f>VLOOKUP(Orders[[#This Row],[Product ID]],Products[],2,0)</f>
        <v>Popcorn Holder</v>
      </c>
      <c r="G152" s="1">
        <v>3</v>
      </c>
      <c r="H152" s="19">
        <v>0.85</v>
      </c>
      <c r="I152" s="19">
        <v>2.5499999999999998</v>
      </c>
    </row>
    <row r="153" spans="1:9" x14ac:dyDescent="0.3">
      <c r="A153" s="1">
        <v>572327</v>
      </c>
      <c r="B153" s="2">
        <v>43762</v>
      </c>
      <c r="C153" t="s">
        <v>2</v>
      </c>
      <c r="D153" s="1">
        <v>15277</v>
      </c>
      <c r="E153" s="1">
        <v>21888</v>
      </c>
      <c r="F153" t="str">
        <f>VLOOKUP(Orders[[#This Row],[Product ID]],Products[],2,0)</f>
        <v>Bingo Set</v>
      </c>
      <c r="G153" s="1">
        <v>8</v>
      </c>
      <c r="H153" s="19">
        <v>3.75</v>
      </c>
      <c r="I153" s="19">
        <v>30</v>
      </c>
    </row>
    <row r="154" spans="1:9" x14ac:dyDescent="0.3">
      <c r="A154" s="1">
        <v>572887</v>
      </c>
      <c r="B154" s="2">
        <v>43764</v>
      </c>
      <c r="C154" t="s">
        <v>11</v>
      </c>
      <c r="D154" s="1">
        <v>12362</v>
      </c>
      <c r="E154" s="1">
        <v>22174</v>
      </c>
      <c r="F154" t="str">
        <f>VLOOKUP(Orders[[#This Row],[Product ID]],Products[],2,0)</f>
        <v>Photo Cube</v>
      </c>
      <c r="G154" s="1">
        <v>12</v>
      </c>
      <c r="H154" s="19">
        <v>1.65</v>
      </c>
      <c r="I154" s="19">
        <v>19.799999999999997</v>
      </c>
    </row>
    <row r="155" spans="1:9" x14ac:dyDescent="0.3">
      <c r="A155" s="1">
        <v>573333</v>
      </c>
      <c r="B155" s="2">
        <v>43768</v>
      </c>
      <c r="C155" t="s">
        <v>13</v>
      </c>
      <c r="D155" s="1">
        <v>12483</v>
      </c>
      <c r="E155" s="1">
        <v>21888</v>
      </c>
      <c r="F155" t="str">
        <f>VLOOKUP(Orders[[#This Row],[Product ID]],Products[],2,0)</f>
        <v>Bingo Set</v>
      </c>
      <c r="G155" s="1">
        <v>4</v>
      </c>
      <c r="H155" s="19">
        <v>3.75</v>
      </c>
      <c r="I155" s="19">
        <v>15</v>
      </c>
    </row>
    <row r="156" spans="1:9" x14ac:dyDescent="0.3">
      <c r="A156" s="1">
        <v>573343</v>
      </c>
      <c r="B156" s="2">
        <v>43768</v>
      </c>
      <c r="C156" t="s">
        <v>2</v>
      </c>
      <c r="D156" s="1">
        <v>13566</v>
      </c>
      <c r="E156" s="1">
        <v>21888</v>
      </c>
      <c r="F156" t="str">
        <f>VLOOKUP(Orders[[#This Row],[Product ID]],Products[],2,0)</f>
        <v>Bingo Set</v>
      </c>
      <c r="G156" s="1">
        <v>2</v>
      </c>
      <c r="H156" s="19">
        <v>3.75</v>
      </c>
      <c r="I156" s="19">
        <v>7.5</v>
      </c>
    </row>
    <row r="157" spans="1:9" x14ac:dyDescent="0.3">
      <c r="A157" s="1">
        <v>573656</v>
      </c>
      <c r="B157" s="2">
        <v>43769</v>
      </c>
      <c r="C157" t="s">
        <v>11</v>
      </c>
      <c r="D157" s="1">
        <v>12417</v>
      </c>
      <c r="E157" s="1">
        <v>22741</v>
      </c>
      <c r="F157" t="str">
        <f>VLOOKUP(Orders[[#This Row],[Product ID]],Products[],2,0)</f>
        <v>Funky Diva Pen</v>
      </c>
      <c r="G157" s="1">
        <v>48</v>
      </c>
      <c r="H157" s="19">
        <v>0.85</v>
      </c>
      <c r="I157" s="19">
        <v>40.799999999999997</v>
      </c>
    </row>
    <row r="158" spans="1:9" x14ac:dyDescent="0.3">
      <c r="A158" s="1">
        <v>573814</v>
      </c>
      <c r="B158" s="2">
        <v>43770</v>
      </c>
      <c r="C158" t="s">
        <v>2</v>
      </c>
      <c r="D158" s="1">
        <v>13268</v>
      </c>
      <c r="E158" s="1">
        <v>23417</v>
      </c>
      <c r="F158" t="str">
        <f>VLOOKUP(Orders[[#This Row],[Product ID]],Products[],2,0)</f>
        <v>Bathroom Hook</v>
      </c>
      <c r="G158" s="1">
        <v>4</v>
      </c>
      <c r="H158" s="19">
        <v>1.65</v>
      </c>
      <c r="I158" s="19">
        <v>6.6</v>
      </c>
    </row>
    <row r="159" spans="1:9" x14ac:dyDescent="0.3">
      <c r="A159" s="1">
        <v>573889</v>
      </c>
      <c r="B159" s="2">
        <v>43770</v>
      </c>
      <c r="C159" t="s">
        <v>2</v>
      </c>
      <c r="D159" s="1">
        <v>13571</v>
      </c>
      <c r="E159" s="1">
        <v>22197</v>
      </c>
      <c r="F159" t="str">
        <f>VLOOKUP(Orders[[#This Row],[Product ID]],Products[],2,0)</f>
        <v>Popcorn Holder</v>
      </c>
      <c r="G159" s="1">
        <v>15</v>
      </c>
      <c r="H159" s="19">
        <v>0.85</v>
      </c>
      <c r="I159" s="19">
        <v>12.75</v>
      </c>
    </row>
    <row r="160" spans="1:9" x14ac:dyDescent="0.3">
      <c r="A160" s="1">
        <v>574093</v>
      </c>
      <c r="B160" s="2">
        <v>43772</v>
      </c>
      <c r="C160" t="s">
        <v>3</v>
      </c>
      <c r="D160" s="1">
        <v>12437</v>
      </c>
      <c r="E160" s="1">
        <v>22197</v>
      </c>
      <c r="F160" t="str">
        <f>VLOOKUP(Orders[[#This Row],[Product ID]],Products[],2,0)</f>
        <v>Popcorn Holder</v>
      </c>
      <c r="G160" s="1">
        <v>12</v>
      </c>
      <c r="H160" s="19">
        <v>0.85</v>
      </c>
      <c r="I160" s="19">
        <v>10.199999999999999</v>
      </c>
    </row>
    <row r="161" spans="1:9" x14ac:dyDescent="0.3">
      <c r="A161" s="1">
        <v>574329</v>
      </c>
      <c r="B161" s="2">
        <v>43773</v>
      </c>
      <c r="C161" t="s">
        <v>11</v>
      </c>
      <c r="D161" s="1">
        <v>12362</v>
      </c>
      <c r="E161" s="1">
        <v>22197</v>
      </c>
      <c r="F161" t="str">
        <f>VLOOKUP(Orders[[#This Row],[Product ID]],Products[],2,0)</f>
        <v>Popcorn Holder</v>
      </c>
      <c r="G161" s="1">
        <v>36</v>
      </c>
      <c r="H161" s="19">
        <v>0.85</v>
      </c>
      <c r="I161" s="19">
        <v>30.599999999999998</v>
      </c>
    </row>
    <row r="162" spans="1:9" x14ac:dyDescent="0.3">
      <c r="A162" s="1">
        <v>574501</v>
      </c>
      <c r="B162" s="2">
        <v>43773</v>
      </c>
      <c r="C162" t="s">
        <v>3</v>
      </c>
      <c r="D162" s="1">
        <v>12577</v>
      </c>
      <c r="E162" s="1">
        <v>22174</v>
      </c>
      <c r="F162" t="str">
        <f>VLOOKUP(Orders[[#This Row],[Product ID]],Products[],2,0)</f>
        <v>Photo Cube</v>
      </c>
      <c r="G162" s="1">
        <v>3</v>
      </c>
      <c r="H162" s="19">
        <v>1.65</v>
      </c>
      <c r="I162" s="19">
        <v>4.9499999999999993</v>
      </c>
    </row>
    <row r="163" spans="1:9" x14ac:dyDescent="0.3">
      <c r="A163" s="1">
        <v>574506</v>
      </c>
      <c r="B163" s="2">
        <v>43773</v>
      </c>
      <c r="C163" t="s">
        <v>3</v>
      </c>
      <c r="D163" s="1">
        <v>12577</v>
      </c>
      <c r="E163" s="1">
        <v>22197</v>
      </c>
      <c r="F163" t="str">
        <f>VLOOKUP(Orders[[#This Row],[Product ID]],Products[],2,0)</f>
        <v>Popcorn Holder</v>
      </c>
      <c r="G163" s="1">
        <v>2</v>
      </c>
      <c r="H163" s="19">
        <v>0.85</v>
      </c>
      <c r="I163" s="19">
        <v>1.7</v>
      </c>
    </row>
    <row r="164" spans="1:9" x14ac:dyDescent="0.3">
      <c r="A164" s="1">
        <v>574506</v>
      </c>
      <c r="B164" s="2">
        <v>43773</v>
      </c>
      <c r="C164" t="s">
        <v>3</v>
      </c>
      <c r="D164" s="1">
        <v>12577</v>
      </c>
      <c r="E164" s="1">
        <v>22197</v>
      </c>
      <c r="F164" t="str">
        <f>VLOOKUP(Orders[[#This Row],[Product ID]],Products[],2,0)</f>
        <v>Popcorn Holder</v>
      </c>
      <c r="G164" s="1">
        <v>4</v>
      </c>
      <c r="H164" s="19">
        <v>0.85</v>
      </c>
      <c r="I164" s="19">
        <v>3.4</v>
      </c>
    </row>
    <row r="165" spans="1:9" x14ac:dyDescent="0.3">
      <c r="A165" s="1">
        <v>574550</v>
      </c>
      <c r="B165" s="2">
        <v>43773</v>
      </c>
      <c r="C165" t="s">
        <v>8</v>
      </c>
      <c r="D165" s="1">
        <v>12484</v>
      </c>
      <c r="E165" s="1">
        <v>22197</v>
      </c>
      <c r="F165" t="str">
        <f>VLOOKUP(Orders[[#This Row],[Product ID]],Products[],2,0)</f>
        <v>Popcorn Holder</v>
      </c>
      <c r="G165" s="1">
        <v>12</v>
      </c>
      <c r="H165" s="19">
        <v>0.85</v>
      </c>
      <c r="I165" s="19">
        <v>10.199999999999999</v>
      </c>
    </row>
    <row r="166" spans="1:9" x14ac:dyDescent="0.3">
      <c r="A166" s="1">
        <v>574575</v>
      </c>
      <c r="B166" s="2">
        <v>43773</v>
      </c>
      <c r="C166" t="s">
        <v>2</v>
      </c>
      <c r="D166" s="1">
        <v>14971</v>
      </c>
      <c r="E166" s="1">
        <v>22694</v>
      </c>
      <c r="F166" t="str">
        <f>VLOOKUP(Orders[[#This Row],[Product ID]],Products[],2,0)</f>
        <v xml:space="preserve">Wicker Star </v>
      </c>
      <c r="G166" s="1">
        <v>2</v>
      </c>
      <c r="H166" s="19">
        <v>2.1</v>
      </c>
      <c r="I166" s="19">
        <v>4.2</v>
      </c>
    </row>
    <row r="167" spans="1:9" x14ac:dyDescent="0.3">
      <c r="A167" s="1">
        <v>574709</v>
      </c>
      <c r="B167" s="2">
        <v>43775</v>
      </c>
      <c r="C167" t="s">
        <v>2</v>
      </c>
      <c r="D167" s="1">
        <v>17768</v>
      </c>
      <c r="E167" s="1">
        <v>22197</v>
      </c>
      <c r="F167" t="str">
        <f>VLOOKUP(Orders[[#This Row],[Product ID]],Products[],2,0)</f>
        <v>Popcorn Holder</v>
      </c>
      <c r="G167" s="1">
        <v>22</v>
      </c>
      <c r="H167" s="19">
        <v>0.85</v>
      </c>
      <c r="I167" s="19">
        <v>18.7</v>
      </c>
    </row>
    <row r="168" spans="1:9" x14ac:dyDescent="0.3">
      <c r="A168" s="1">
        <v>574714</v>
      </c>
      <c r="B168" s="2">
        <v>43775</v>
      </c>
      <c r="C168" t="s">
        <v>2</v>
      </c>
      <c r="D168" s="1">
        <v>15427</v>
      </c>
      <c r="E168" s="1">
        <v>22197</v>
      </c>
      <c r="F168" t="str">
        <f>VLOOKUP(Orders[[#This Row],[Product ID]],Products[],2,0)</f>
        <v>Popcorn Holder</v>
      </c>
      <c r="G168" s="1">
        <v>4</v>
      </c>
      <c r="H168" s="19">
        <v>0.85</v>
      </c>
      <c r="I168" s="19">
        <v>3.4</v>
      </c>
    </row>
    <row r="169" spans="1:9" x14ac:dyDescent="0.3">
      <c r="A169" s="1">
        <v>574740</v>
      </c>
      <c r="B169" s="2">
        <v>43775</v>
      </c>
      <c r="C169" t="s">
        <v>7</v>
      </c>
      <c r="D169" s="1">
        <v>12357</v>
      </c>
      <c r="E169" s="1">
        <v>22190</v>
      </c>
      <c r="F169" t="str">
        <f>VLOOKUP(Orders[[#This Row],[Product ID]],Products[],2,0)</f>
        <v>Local Cafe Mug</v>
      </c>
      <c r="G169" s="1">
        <v>12</v>
      </c>
      <c r="H169" s="19">
        <v>2.1</v>
      </c>
      <c r="I169" s="19">
        <v>25.200000000000003</v>
      </c>
    </row>
    <row r="170" spans="1:9" x14ac:dyDescent="0.3">
      <c r="A170" s="1">
        <v>574740</v>
      </c>
      <c r="B170" s="2">
        <v>43775</v>
      </c>
      <c r="C170" t="s">
        <v>7</v>
      </c>
      <c r="D170" s="1">
        <v>12357</v>
      </c>
      <c r="E170" s="1">
        <v>21116</v>
      </c>
      <c r="F170" t="str">
        <f>VLOOKUP(Orders[[#This Row],[Product ID]],Products[],2,0)</f>
        <v>Owl Doorstop</v>
      </c>
      <c r="G170" s="1">
        <v>16</v>
      </c>
      <c r="H170" s="19">
        <v>4.25</v>
      </c>
      <c r="I170" s="19">
        <v>68</v>
      </c>
    </row>
    <row r="171" spans="1:9" x14ac:dyDescent="0.3">
      <c r="A171" s="1">
        <v>575067</v>
      </c>
      <c r="B171" s="2">
        <v>43777</v>
      </c>
      <c r="C171" t="s">
        <v>3</v>
      </c>
      <c r="D171" s="1">
        <v>12583</v>
      </c>
      <c r="E171" s="1">
        <v>22197</v>
      </c>
      <c r="F171" t="str">
        <f>VLOOKUP(Orders[[#This Row],[Product ID]],Products[],2,0)</f>
        <v>Popcorn Holder</v>
      </c>
      <c r="G171" s="1">
        <v>24</v>
      </c>
      <c r="H171" s="19">
        <v>0.85</v>
      </c>
      <c r="I171" s="19">
        <v>20.399999999999999</v>
      </c>
    </row>
    <row r="172" spans="1:9" x14ac:dyDescent="0.3">
      <c r="A172" s="1">
        <v>575331</v>
      </c>
      <c r="B172" s="2">
        <v>43778</v>
      </c>
      <c r="C172" t="s">
        <v>2</v>
      </c>
      <c r="D172" s="1">
        <v>13209</v>
      </c>
      <c r="E172" s="1">
        <v>22197</v>
      </c>
      <c r="F172" t="str">
        <f>VLOOKUP(Orders[[#This Row],[Product ID]],Products[],2,0)</f>
        <v>Popcorn Holder</v>
      </c>
      <c r="G172" s="1">
        <v>12</v>
      </c>
      <c r="H172" s="19">
        <v>0.85</v>
      </c>
      <c r="I172" s="19">
        <v>10.199999999999999</v>
      </c>
    </row>
    <row r="173" spans="1:9" x14ac:dyDescent="0.3">
      <c r="A173" s="1">
        <v>575507</v>
      </c>
      <c r="B173" s="2">
        <v>43779</v>
      </c>
      <c r="C173" t="s">
        <v>2</v>
      </c>
      <c r="D173" s="1">
        <v>17197</v>
      </c>
      <c r="E173" s="1">
        <v>21888</v>
      </c>
      <c r="F173" t="str">
        <f>VLOOKUP(Orders[[#This Row],[Product ID]],Products[],2,0)</f>
        <v>Bingo Set</v>
      </c>
      <c r="G173" s="1">
        <v>4</v>
      </c>
      <c r="H173" s="19">
        <v>3.75</v>
      </c>
      <c r="I173" s="19">
        <v>15</v>
      </c>
    </row>
    <row r="174" spans="1:9" x14ac:dyDescent="0.3">
      <c r="A174" s="1">
        <v>575514</v>
      </c>
      <c r="B174" s="2">
        <v>43779</v>
      </c>
      <c r="C174" t="s">
        <v>8</v>
      </c>
      <c r="D174" s="1">
        <v>12541</v>
      </c>
      <c r="E174" s="1">
        <v>22197</v>
      </c>
      <c r="F174" t="str">
        <f>VLOOKUP(Orders[[#This Row],[Product ID]],Products[],2,0)</f>
        <v>Popcorn Holder</v>
      </c>
      <c r="G174" s="1">
        <v>24</v>
      </c>
      <c r="H174" s="19">
        <v>0.85</v>
      </c>
      <c r="I174" s="19">
        <v>20.399999999999999</v>
      </c>
    </row>
    <row r="175" spans="1:9" x14ac:dyDescent="0.3">
      <c r="A175" s="1">
        <v>575880</v>
      </c>
      <c r="B175" s="2">
        <v>43780</v>
      </c>
      <c r="C175" t="s">
        <v>3</v>
      </c>
      <c r="D175" s="1">
        <v>12726</v>
      </c>
      <c r="E175" s="1">
        <v>21888</v>
      </c>
      <c r="F175" t="str">
        <f>VLOOKUP(Orders[[#This Row],[Product ID]],Products[],2,0)</f>
        <v>Bingo Set</v>
      </c>
      <c r="G175" s="1">
        <v>4</v>
      </c>
      <c r="H175" s="19">
        <v>3.75</v>
      </c>
      <c r="I175" s="19">
        <v>15</v>
      </c>
    </row>
    <row r="176" spans="1:9" x14ac:dyDescent="0.3">
      <c r="A176" s="1">
        <v>575886</v>
      </c>
      <c r="B176" s="2">
        <v>43780</v>
      </c>
      <c r="C176" t="s">
        <v>5</v>
      </c>
      <c r="D176" s="1">
        <v>12517</v>
      </c>
      <c r="E176" s="1">
        <v>20713</v>
      </c>
      <c r="F176" t="str">
        <f>VLOOKUP(Orders[[#This Row],[Product ID]],Products[],2,0)</f>
        <v>Jumbo Bag Owls</v>
      </c>
      <c r="G176" s="1">
        <v>3</v>
      </c>
      <c r="H176" s="19">
        <v>2.08</v>
      </c>
      <c r="I176" s="19">
        <v>6.24</v>
      </c>
    </row>
    <row r="177" spans="1:9" x14ac:dyDescent="0.3">
      <c r="A177" s="1">
        <v>576215</v>
      </c>
      <c r="B177" s="2">
        <v>43783</v>
      </c>
      <c r="C177" t="s">
        <v>2</v>
      </c>
      <c r="D177" s="1">
        <v>17652</v>
      </c>
      <c r="E177" s="1">
        <v>22197</v>
      </c>
      <c r="F177" t="str">
        <f>VLOOKUP(Orders[[#This Row],[Product ID]],Products[],2,0)</f>
        <v>Popcorn Holder</v>
      </c>
      <c r="G177" s="1">
        <v>24</v>
      </c>
      <c r="H177" s="19">
        <v>0.85</v>
      </c>
      <c r="I177" s="19">
        <v>20.399999999999999</v>
      </c>
    </row>
    <row r="178" spans="1:9" x14ac:dyDescent="0.3">
      <c r="A178" s="1">
        <v>576255</v>
      </c>
      <c r="B178" s="2">
        <v>43783</v>
      </c>
      <c r="C178" t="s">
        <v>2</v>
      </c>
      <c r="D178" s="1">
        <v>15993</v>
      </c>
      <c r="E178" s="1">
        <v>22197</v>
      </c>
      <c r="F178" t="str">
        <f>VLOOKUP(Orders[[#This Row],[Product ID]],Products[],2,0)</f>
        <v>Popcorn Holder</v>
      </c>
      <c r="G178" s="1">
        <v>10</v>
      </c>
      <c r="H178" s="19">
        <v>0.85</v>
      </c>
      <c r="I178" s="19">
        <v>8.5</v>
      </c>
    </row>
    <row r="179" spans="1:9" x14ac:dyDescent="0.3">
      <c r="A179" s="1">
        <v>576629</v>
      </c>
      <c r="B179" s="2">
        <v>43785</v>
      </c>
      <c r="C179" t="s">
        <v>5</v>
      </c>
      <c r="D179" s="1">
        <v>12621</v>
      </c>
      <c r="E179" s="1">
        <v>62018</v>
      </c>
      <c r="F179" t="str">
        <f>VLOOKUP(Orders[[#This Row],[Product ID]],Products[],2,0)</f>
        <v xml:space="preserve">Sombrero </v>
      </c>
      <c r="G179" s="1">
        <v>6</v>
      </c>
      <c r="H179" s="19">
        <v>1.95</v>
      </c>
      <c r="I179" s="19">
        <v>11.7</v>
      </c>
    </row>
    <row r="180" spans="1:9" x14ac:dyDescent="0.3">
      <c r="A180" s="1">
        <v>577033</v>
      </c>
      <c r="B180" s="2">
        <v>43786</v>
      </c>
      <c r="C180" t="s">
        <v>2</v>
      </c>
      <c r="D180" s="1">
        <v>17797</v>
      </c>
      <c r="E180" s="1">
        <v>22694</v>
      </c>
      <c r="F180" t="str">
        <f>VLOOKUP(Orders[[#This Row],[Product ID]],Products[],2,0)</f>
        <v xml:space="preserve">Wicker Star </v>
      </c>
      <c r="G180" s="1">
        <v>4</v>
      </c>
      <c r="H180" s="19">
        <v>2.1</v>
      </c>
      <c r="I180" s="19">
        <v>8.4</v>
      </c>
    </row>
    <row r="181" spans="1:9" x14ac:dyDescent="0.3">
      <c r="A181" s="1">
        <v>577046</v>
      </c>
      <c r="B181" s="2">
        <v>43786</v>
      </c>
      <c r="C181" t="s">
        <v>11</v>
      </c>
      <c r="D181" s="1">
        <v>12449</v>
      </c>
      <c r="E181" s="1">
        <v>22174</v>
      </c>
      <c r="F181" t="str">
        <f>VLOOKUP(Orders[[#This Row],[Product ID]],Products[],2,0)</f>
        <v>Photo Cube</v>
      </c>
      <c r="G181" s="1">
        <v>12</v>
      </c>
      <c r="H181" s="19">
        <v>1.65</v>
      </c>
      <c r="I181" s="19">
        <v>19.799999999999997</v>
      </c>
    </row>
    <row r="182" spans="1:9" x14ac:dyDescent="0.3">
      <c r="A182" s="1">
        <v>577121</v>
      </c>
      <c r="B182" s="2">
        <v>43786</v>
      </c>
      <c r="C182" t="s">
        <v>3</v>
      </c>
      <c r="D182" s="1">
        <v>12681</v>
      </c>
      <c r="E182" s="1">
        <v>22197</v>
      </c>
      <c r="F182" t="str">
        <f>VLOOKUP(Orders[[#This Row],[Product ID]],Products[],2,0)</f>
        <v>Popcorn Holder</v>
      </c>
      <c r="G182" s="1">
        <v>12</v>
      </c>
      <c r="H182" s="19">
        <v>0.85</v>
      </c>
      <c r="I182" s="19">
        <v>10.199999999999999</v>
      </c>
    </row>
    <row r="183" spans="1:9" x14ac:dyDescent="0.3">
      <c r="A183" s="1">
        <v>577152</v>
      </c>
      <c r="B183" s="2">
        <v>43787</v>
      </c>
      <c r="C183" t="s">
        <v>3</v>
      </c>
      <c r="D183" s="1">
        <v>14277</v>
      </c>
      <c r="E183" s="1">
        <v>22741</v>
      </c>
      <c r="F183" t="str">
        <f>VLOOKUP(Orders[[#This Row],[Product ID]],Products[],2,0)</f>
        <v>Funky Diva Pen</v>
      </c>
      <c r="G183" s="1">
        <v>48</v>
      </c>
      <c r="H183" s="19">
        <v>0.85</v>
      </c>
      <c r="I183" s="19">
        <v>40.799999999999997</v>
      </c>
    </row>
    <row r="184" spans="1:9" x14ac:dyDescent="0.3">
      <c r="A184" s="1">
        <v>577314</v>
      </c>
      <c r="B184" s="2">
        <v>43787</v>
      </c>
      <c r="C184" t="s">
        <v>6</v>
      </c>
      <c r="D184" s="1">
        <v>12444</v>
      </c>
      <c r="E184" s="1">
        <v>22694</v>
      </c>
      <c r="F184" t="str">
        <f>VLOOKUP(Orders[[#This Row],[Product ID]],Products[],2,0)</f>
        <v xml:space="preserve">Wicker Star </v>
      </c>
      <c r="G184" s="1">
        <v>6</v>
      </c>
      <c r="H184" s="19">
        <v>2.1</v>
      </c>
      <c r="I184" s="19">
        <v>12.600000000000001</v>
      </c>
    </row>
    <row r="185" spans="1:9" x14ac:dyDescent="0.3">
      <c r="A185" s="1">
        <v>577316</v>
      </c>
      <c r="B185" s="2">
        <v>43787</v>
      </c>
      <c r="C185" t="s">
        <v>10</v>
      </c>
      <c r="D185" s="1">
        <v>12578</v>
      </c>
      <c r="E185" s="1">
        <v>21888</v>
      </c>
      <c r="F185" t="str">
        <f>VLOOKUP(Orders[[#This Row],[Product ID]],Products[],2,0)</f>
        <v>Bingo Set</v>
      </c>
      <c r="G185" s="1">
        <v>4</v>
      </c>
      <c r="H185" s="19">
        <v>3.75</v>
      </c>
      <c r="I185" s="19">
        <v>15</v>
      </c>
    </row>
    <row r="186" spans="1:9" x14ac:dyDescent="0.3">
      <c r="A186" s="1">
        <v>577476</v>
      </c>
      <c r="B186" s="2">
        <v>43789</v>
      </c>
      <c r="C186" t="s">
        <v>8</v>
      </c>
      <c r="D186" s="1">
        <v>12540</v>
      </c>
      <c r="E186" s="1">
        <v>21116</v>
      </c>
      <c r="F186" t="str">
        <f>VLOOKUP(Orders[[#This Row],[Product ID]],Products[],2,0)</f>
        <v>Owl Doorstop</v>
      </c>
      <c r="G186" s="1">
        <v>6</v>
      </c>
      <c r="H186" s="19">
        <v>4.95</v>
      </c>
      <c r="I186" s="19">
        <v>29.700000000000003</v>
      </c>
    </row>
    <row r="187" spans="1:9" x14ac:dyDescent="0.3">
      <c r="A187" s="1">
        <v>577476</v>
      </c>
      <c r="B187" s="2">
        <v>43789</v>
      </c>
      <c r="C187" t="s">
        <v>8</v>
      </c>
      <c r="D187" s="1">
        <v>12540</v>
      </c>
      <c r="E187" s="1">
        <v>22741</v>
      </c>
      <c r="F187" t="str">
        <f>VLOOKUP(Orders[[#This Row],[Product ID]],Products[],2,0)</f>
        <v>Funky Diva Pen</v>
      </c>
      <c r="G187" s="1">
        <v>48</v>
      </c>
      <c r="H187" s="19">
        <v>0.85</v>
      </c>
      <c r="I187" s="19">
        <v>40.799999999999997</v>
      </c>
    </row>
    <row r="188" spans="1:9" x14ac:dyDescent="0.3">
      <c r="A188" s="1">
        <v>577938</v>
      </c>
      <c r="B188" s="2">
        <v>43791</v>
      </c>
      <c r="C188" t="s">
        <v>2</v>
      </c>
      <c r="D188" s="1">
        <v>15525</v>
      </c>
      <c r="E188" s="1">
        <v>22197</v>
      </c>
      <c r="F188" t="str">
        <f>VLOOKUP(Orders[[#This Row],[Product ID]],Products[],2,0)</f>
        <v>Popcorn Holder</v>
      </c>
      <c r="G188" s="1">
        <v>2</v>
      </c>
      <c r="H188" s="19">
        <v>0.85</v>
      </c>
      <c r="I188" s="19">
        <v>1.7</v>
      </c>
    </row>
    <row r="189" spans="1:9" x14ac:dyDescent="0.3">
      <c r="A189" s="1">
        <v>578108</v>
      </c>
      <c r="B189" s="2">
        <v>43792</v>
      </c>
      <c r="C189" t="s">
        <v>10</v>
      </c>
      <c r="D189" s="1">
        <v>14912</v>
      </c>
      <c r="E189" s="1">
        <v>22197</v>
      </c>
      <c r="F189" t="str">
        <f>VLOOKUP(Orders[[#This Row],[Product ID]],Products[],2,0)</f>
        <v>Popcorn Holder</v>
      </c>
      <c r="G189" s="1">
        <v>100</v>
      </c>
      <c r="H189" s="19">
        <v>0.72</v>
      </c>
      <c r="I189" s="19">
        <v>72</v>
      </c>
    </row>
    <row r="190" spans="1:9" x14ac:dyDescent="0.3">
      <c r="A190" s="1">
        <v>578147</v>
      </c>
      <c r="B190" s="2">
        <v>43792</v>
      </c>
      <c r="C190" t="s">
        <v>2</v>
      </c>
      <c r="D190" s="1">
        <v>12748</v>
      </c>
      <c r="E190" s="1">
        <v>22197</v>
      </c>
      <c r="F190" t="str">
        <f>VLOOKUP(Orders[[#This Row],[Product ID]],Products[],2,0)</f>
        <v>Popcorn Holder</v>
      </c>
      <c r="G190" s="1">
        <v>4</v>
      </c>
      <c r="H190" s="19">
        <v>0.85</v>
      </c>
      <c r="I190" s="19">
        <v>3.4</v>
      </c>
    </row>
    <row r="191" spans="1:9" x14ac:dyDescent="0.3">
      <c r="A191" s="1">
        <v>578781</v>
      </c>
      <c r="B191" s="2">
        <v>43794</v>
      </c>
      <c r="C191" t="s">
        <v>2</v>
      </c>
      <c r="D191" s="1">
        <v>15872</v>
      </c>
      <c r="E191" s="1">
        <v>62018</v>
      </c>
      <c r="F191" t="str">
        <f>VLOOKUP(Orders[[#This Row],[Product ID]],Products[],2,0)</f>
        <v xml:space="preserve">Sombrero </v>
      </c>
      <c r="G191" s="1">
        <v>1</v>
      </c>
      <c r="H191" s="19">
        <v>1.95</v>
      </c>
      <c r="I191" s="19">
        <v>1.95</v>
      </c>
    </row>
    <row r="192" spans="1:9" x14ac:dyDescent="0.3">
      <c r="A192" s="1">
        <v>578949</v>
      </c>
      <c r="B192" s="2">
        <v>43796</v>
      </c>
      <c r="C192" t="s">
        <v>2</v>
      </c>
      <c r="D192" s="1">
        <v>14954</v>
      </c>
      <c r="E192" s="1">
        <v>21260</v>
      </c>
      <c r="F192" t="str">
        <f>VLOOKUP(Orders[[#This Row],[Product ID]],Products[],2,0)</f>
        <v>First Aid Tin</v>
      </c>
      <c r="G192" s="1">
        <v>1</v>
      </c>
      <c r="H192" s="19">
        <v>3.25</v>
      </c>
      <c r="I192" s="19">
        <v>3.25</v>
      </c>
    </row>
    <row r="193" spans="1:9" x14ac:dyDescent="0.3">
      <c r="A193" s="1">
        <v>579135</v>
      </c>
      <c r="B193" s="2">
        <v>43797</v>
      </c>
      <c r="C193" t="s">
        <v>2</v>
      </c>
      <c r="D193" s="1">
        <v>18096</v>
      </c>
      <c r="E193" s="1">
        <v>22197</v>
      </c>
      <c r="F193" t="str">
        <f>VLOOKUP(Orders[[#This Row],[Product ID]],Products[],2,0)</f>
        <v>Popcorn Holder</v>
      </c>
      <c r="G193" s="1">
        <v>20</v>
      </c>
      <c r="H193" s="19">
        <v>0.85</v>
      </c>
      <c r="I193" s="19">
        <v>17</v>
      </c>
    </row>
    <row r="194" spans="1:9" x14ac:dyDescent="0.3">
      <c r="A194" s="1">
        <v>579503</v>
      </c>
      <c r="B194" s="2">
        <v>43798</v>
      </c>
      <c r="C194" t="s">
        <v>8</v>
      </c>
      <c r="D194" s="1">
        <v>17097</v>
      </c>
      <c r="E194" s="1">
        <v>20713</v>
      </c>
      <c r="F194" t="str">
        <f>VLOOKUP(Orders[[#This Row],[Product ID]],Products[],2,0)</f>
        <v>Jumbo Bag Owls</v>
      </c>
      <c r="G194" s="1">
        <v>1</v>
      </c>
      <c r="H194" s="19">
        <v>2.08</v>
      </c>
      <c r="I194" s="19">
        <v>2.08</v>
      </c>
    </row>
    <row r="195" spans="1:9" x14ac:dyDescent="0.3">
      <c r="A195" s="1">
        <v>579692</v>
      </c>
      <c r="B195" s="2">
        <v>43799</v>
      </c>
      <c r="C195" t="s">
        <v>6</v>
      </c>
      <c r="D195" s="1">
        <v>12433</v>
      </c>
      <c r="E195" s="1">
        <v>22197</v>
      </c>
      <c r="F195" t="str">
        <f>VLOOKUP(Orders[[#This Row],[Product ID]],Products[],2,0)</f>
        <v>Popcorn Holder</v>
      </c>
      <c r="G195" s="1">
        <v>100</v>
      </c>
      <c r="H195" s="19">
        <v>0.72</v>
      </c>
      <c r="I195" s="19">
        <v>72</v>
      </c>
    </row>
    <row r="196" spans="1:9" x14ac:dyDescent="0.3">
      <c r="A196" s="1">
        <v>580265</v>
      </c>
      <c r="B196" s="2">
        <v>43801</v>
      </c>
      <c r="C196" t="s">
        <v>14</v>
      </c>
      <c r="D196" s="1">
        <v>12587</v>
      </c>
      <c r="E196" s="1">
        <v>20713</v>
      </c>
      <c r="F196" t="str">
        <f>VLOOKUP(Orders[[#This Row],[Product ID]],Products[],2,0)</f>
        <v>Jumbo Bag Owls</v>
      </c>
      <c r="G196" s="1">
        <v>10</v>
      </c>
      <c r="H196" s="19">
        <v>2.08</v>
      </c>
      <c r="I196" s="19">
        <v>20.8</v>
      </c>
    </row>
    <row r="197" spans="1:9" x14ac:dyDescent="0.3">
      <c r="A197" s="1">
        <v>580998</v>
      </c>
      <c r="B197" s="2">
        <v>43805</v>
      </c>
      <c r="C197" t="s">
        <v>2</v>
      </c>
      <c r="D197" s="1">
        <v>16987</v>
      </c>
      <c r="E197" s="1">
        <v>22694</v>
      </c>
      <c r="F197" t="str">
        <f>VLOOKUP(Orders[[#This Row],[Product ID]],Products[],2,0)</f>
        <v xml:space="preserve">Wicker Star </v>
      </c>
      <c r="G197" s="1">
        <v>2</v>
      </c>
      <c r="H197" s="19">
        <v>2.1</v>
      </c>
      <c r="I197" s="19">
        <v>4.2</v>
      </c>
    </row>
    <row r="198" spans="1:9" x14ac:dyDescent="0.3">
      <c r="A198" s="1">
        <v>581246</v>
      </c>
      <c r="B198" s="2">
        <v>43807</v>
      </c>
      <c r="C198" t="s">
        <v>2</v>
      </c>
      <c r="D198" s="1">
        <v>15453</v>
      </c>
      <c r="E198" s="1">
        <v>22694</v>
      </c>
      <c r="F198" t="str">
        <f>VLOOKUP(Orders[[#This Row],[Product ID]],Products[],2,0)</f>
        <v xml:space="preserve">Wicker Star </v>
      </c>
      <c r="G198" s="1">
        <v>1</v>
      </c>
      <c r="H198" s="19">
        <v>2.1</v>
      </c>
      <c r="I198" s="19">
        <v>2.1</v>
      </c>
    </row>
    <row r="199" spans="1:9" x14ac:dyDescent="0.3">
      <c r="A199" s="1">
        <v>581253</v>
      </c>
      <c r="B199" s="2">
        <v>43807</v>
      </c>
      <c r="C199" t="s">
        <v>2</v>
      </c>
      <c r="D199" s="1">
        <v>16891</v>
      </c>
      <c r="E199" s="1">
        <v>22694</v>
      </c>
      <c r="F199" t="str">
        <f>VLOOKUP(Orders[[#This Row],[Product ID]],Products[],2,0)</f>
        <v xml:space="preserve">Wicker Star </v>
      </c>
      <c r="G199" s="1">
        <v>4</v>
      </c>
      <c r="H199" s="19">
        <v>2.1</v>
      </c>
      <c r="I199" s="19">
        <v>8.4</v>
      </c>
    </row>
    <row r="200" spans="1:9" x14ac:dyDescent="0.3">
      <c r="A200" s="1">
        <v>581412</v>
      </c>
      <c r="B200" s="2">
        <v>43807</v>
      </c>
      <c r="C200" t="s">
        <v>2</v>
      </c>
      <c r="D200" s="1">
        <v>14415</v>
      </c>
      <c r="E200" s="1">
        <v>20713</v>
      </c>
      <c r="F200" t="str">
        <f>VLOOKUP(Orders[[#This Row],[Product ID]],Products[],2,0)</f>
        <v>Jumbo Bag Owls</v>
      </c>
      <c r="G200" s="1">
        <v>5</v>
      </c>
      <c r="H200" s="19">
        <v>2.08</v>
      </c>
      <c r="I200" s="19">
        <v>10.4</v>
      </c>
    </row>
    <row r="201" spans="1:9" x14ac:dyDescent="0.3">
      <c r="A201" s="1">
        <v>581476</v>
      </c>
      <c r="B201" s="2">
        <v>43808</v>
      </c>
      <c r="C201" t="s">
        <v>6</v>
      </c>
      <c r="D201" s="1">
        <v>12433</v>
      </c>
      <c r="E201" s="1">
        <v>22197</v>
      </c>
      <c r="F201" t="str">
        <f>VLOOKUP(Orders[[#This Row],[Product ID]],Products[],2,0)</f>
        <v>Popcorn Holder</v>
      </c>
      <c r="G201" s="1">
        <v>100</v>
      </c>
      <c r="H201" s="19">
        <v>0.72</v>
      </c>
      <c r="I201" s="19">
        <v>72</v>
      </c>
    </row>
  </sheetData>
  <pageMargins left="0.7" right="0.7" top="0.75" bottom="0.75"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0000000}">
          <x14:formula1>
            <xm:f>'Countries'!$A$2:$A$15</xm:f>
          </x14:formula1>
          <xm:sqref>K2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theme="3" tint="0.59999389629810485"/>
  </sheetPr>
  <dimension ref="A1:B15"/>
  <sheetViews>
    <sheetView workbookViewId="0">
      <selection activeCell="P15" sqref="P15"/>
    </sheetView>
  </sheetViews>
  <sheetFormatPr defaultRowHeight="14.4" x14ac:dyDescent="0.3"/>
  <cols>
    <col min="1" max="1" width="12.88671875" customWidth="1"/>
    <col min="2" max="2" width="18.5546875" customWidth="1"/>
  </cols>
  <sheetData>
    <row r="1" spans="1:2" x14ac:dyDescent="0.3">
      <c r="A1" s="3" t="s">
        <v>17</v>
      </c>
      <c r="B1" s="3" t="s">
        <v>18</v>
      </c>
    </row>
    <row r="2" spans="1:2" x14ac:dyDescent="0.3">
      <c r="A2" s="1">
        <v>20713</v>
      </c>
      <c r="B2" t="s">
        <v>634</v>
      </c>
    </row>
    <row r="3" spans="1:2" x14ac:dyDescent="0.3">
      <c r="A3" s="1">
        <v>21025</v>
      </c>
      <c r="B3" t="s">
        <v>635</v>
      </c>
    </row>
    <row r="4" spans="1:2" x14ac:dyDescent="0.3">
      <c r="A4" s="1">
        <v>21116</v>
      </c>
      <c r="B4" t="s">
        <v>636</v>
      </c>
    </row>
    <row r="5" spans="1:2" x14ac:dyDescent="0.3">
      <c r="A5" s="1">
        <v>21260</v>
      </c>
      <c r="B5" t="s">
        <v>637</v>
      </c>
    </row>
    <row r="6" spans="1:2" x14ac:dyDescent="0.3">
      <c r="A6" s="1">
        <v>21888</v>
      </c>
      <c r="B6" t="s">
        <v>638</v>
      </c>
    </row>
    <row r="7" spans="1:2" x14ac:dyDescent="0.3">
      <c r="A7" s="1">
        <v>22174</v>
      </c>
      <c r="B7" t="s">
        <v>639</v>
      </c>
    </row>
    <row r="8" spans="1:2" x14ac:dyDescent="0.3">
      <c r="A8" s="1">
        <v>22190</v>
      </c>
      <c r="B8" t="s">
        <v>640</v>
      </c>
    </row>
    <row r="9" spans="1:2" x14ac:dyDescent="0.3">
      <c r="A9" s="1">
        <v>22197</v>
      </c>
      <c r="B9" t="s">
        <v>641</v>
      </c>
    </row>
    <row r="10" spans="1:2" x14ac:dyDescent="0.3">
      <c r="A10" s="1">
        <v>22653</v>
      </c>
      <c r="B10" t="s">
        <v>642</v>
      </c>
    </row>
    <row r="11" spans="1:2" x14ac:dyDescent="0.3">
      <c r="A11" s="1">
        <v>22694</v>
      </c>
      <c r="B11" t="s">
        <v>643</v>
      </c>
    </row>
    <row r="12" spans="1:2" x14ac:dyDescent="0.3">
      <c r="A12" s="1">
        <v>22740</v>
      </c>
      <c r="B12" t="s">
        <v>644</v>
      </c>
    </row>
    <row r="13" spans="1:2" x14ac:dyDescent="0.3">
      <c r="A13" s="1">
        <v>22741</v>
      </c>
      <c r="B13" t="s">
        <v>645</v>
      </c>
    </row>
    <row r="14" spans="1:2" x14ac:dyDescent="0.3">
      <c r="A14" s="1">
        <v>23417</v>
      </c>
      <c r="B14" t="s">
        <v>646</v>
      </c>
    </row>
    <row r="15" spans="1:2" x14ac:dyDescent="0.3">
      <c r="A15" s="1">
        <v>62018</v>
      </c>
      <c r="B15" t="s">
        <v>647</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theme="3" tint="0.59999389629810485"/>
  </sheetPr>
  <dimension ref="A1:B15"/>
  <sheetViews>
    <sheetView workbookViewId="0">
      <selection activeCell="K5" sqref="K5"/>
    </sheetView>
  </sheetViews>
  <sheetFormatPr defaultRowHeight="14.4" x14ac:dyDescent="0.3"/>
  <cols>
    <col min="1" max="1" width="17.109375" customWidth="1"/>
  </cols>
  <sheetData>
    <row r="1" spans="1:2" x14ac:dyDescent="0.3">
      <c r="A1" s="3" t="s">
        <v>0</v>
      </c>
      <c r="B1" s="3" t="s">
        <v>22</v>
      </c>
    </row>
    <row r="2" spans="1:2" x14ac:dyDescent="0.3">
      <c r="A2" t="s">
        <v>15</v>
      </c>
      <c r="B2" s="1">
        <v>2</v>
      </c>
    </row>
    <row r="3" spans="1:2" x14ac:dyDescent="0.3">
      <c r="A3" t="s">
        <v>11</v>
      </c>
      <c r="B3" s="1">
        <v>12</v>
      </c>
    </row>
    <row r="4" spans="1:2" x14ac:dyDescent="0.3">
      <c r="A4" t="s">
        <v>12</v>
      </c>
      <c r="B4" s="1">
        <v>2</v>
      </c>
    </row>
    <row r="5" spans="1:2" x14ac:dyDescent="0.3">
      <c r="A5" t="s">
        <v>14</v>
      </c>
      <c r="B5" s="1">
        <v>3</v>
      </c>
    </row>
    <row r="6" spans="1:2" x14ac:dyDescent="0.3">
      <c r="A6" t="s">
        <v>3</v>
      </c>
      <c r="B6" s="1">
        <v>32</v>
      </c>
    </row>
    <row r="7" spans="1:2" x14ac:dyDescent="0.3">
      <c r="A7" t="s">
        <v>5</v>
      </c>
      <c r="B7" s="1">
        <v>44</v>
      </c>
    </row>
    <row r="8" spans="1:2" x14ac:dyDescent="0.3">
      <c r="A8" t="s">
        <v>10</v>
      </c>
      <c r="B8" s="1">
        <v>7</v>
      </c>
    </row>
    <row r="9" spans="1:2" x14ac:dyDescent="0.3">
      <c r="A9" t="s">
        <v>4</v>
      </c>
      <c r="B9" s="1">
        <v>12</v>
      </c>
    </row>
    <row r="10" spans="1:2" x14ac:dyDescent="0.3">
      <c r="A10" t="s">
        <v>6</v>
      </c>
      <c r="B10" s="1">
        <v>4</v>
      </c>
    </row>
    <row r="11" spans="1:2" x14ac:dyDescent="0.3">
      <c r="A11" t="s">
        <v>9</v>
      </c>
      <c r="B11" s="1">
        <v>9</v>
      </c>
    </row>
    <row r="12" spans="1:2" x14ac:dyDescent="0.3">
      <c r="A12" t="s">
        <v>8</v>
      </c>
      <c r="B12" s="1">
        <v>14</v>
      </c>
    </row>
    <row r="13" spans="1:2" x14ac:dyDescent="0.3">
      <c r="A13" t="s">
        <v>13</v>
      </c>
      <c r="B13" s="1">
        <v>4</v>
      </c>
    </row>
    <row r="14" spans="1:2" x14ac:dyDescent="0.3">
      <c r="A14" t="s">
        <v>7</v>
      </c>
      <c r="B14" s="1">
        <v>7</v>
      </c>
    </row>
    <row r="15" spans="1:2" x14ac:dyDescent="0.3">
      <c r="A15" t="s">
        <v>2</v>
      </c>
      <c r="B15" s="1">
        <v>48</v>
      </c>
    </row>
  </sheetData>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theme="3" tint="0.59999389629810485"/>
  </sheetPr>
  <dimension ref="A1:B5"/>
  <sheetViews>
    <sheetView workbookViewId="0">
      <selection activeCell="B6" sqref="B6"/>
    </sheetView>
  </sheetViews>
  <sheetFormatPr defaultRowHeight="14.4" x14ac:dyDescent="0.3"/>
  <cols>
    <col min="1" max="1" width="20" customWidth="1"/>
    <col min="2" max="2" width="11.44140625" customWidth="1"/>
  </cols>
  <sheetData>
    <row r="1" spans="1:2" x14ac:dyDescent="0.3">
      <c r="A1" s="44" t="s">
        <v>23</v>
      </c>
      <c r="B1" s="44"/>
    </row>
    <row r="2" spans="1:2" x14ac:dyDescent="0.3">
      <c r="A2" s="4" t="s">
        <v>24</v>
      </c>
      <c r="B2" s="6">
        <v>250000</v>
      </c>
    </row>
    <row r="3" spans="1:2" x14ac:dyDescent="0.3">
      <c r="A3" s="4" t="s">
        <v>25</v>
      </c>
      <c r="B3" s="5">
        <v>4.4999999999999998E-2</v>
      </c>
    </row>
    <row r="4" spans="1:2" x14ac:dyDescent="0.3">
      <c r="A4" s="7" t="s">
        <v>26</v>
      </c>
      <c r="B4" s="8">
        <v>30</v>
      </c>
    </row>
    <row r="5" spans="1:2" x14ac:dyDescent="0.3">
      <c r="A5" s="9" t="s">
        <v>27</v>
      </c>
      <c r="B5" s="10">
        <f>PMT(B3/12,B4*12,B2,,1)</f>
        <v>-1261.9808463907364</v>
      </c>
    </row>
  </sheetData>
  <mergeCells count="1">
    <mergeCell ref="A1:B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theme="3" tint="0.59999389629810485"/>
  </sheetPr>
  <dimension ref="A1:B14"/>
  <sheetViews>
    <sheetView workbookViewId="0">
      <selection sqref="A1:B14"/>
    </sheetView>
  </sheetViews>
  <sheetFormatPr defaultRowHeight="14.4" x14ac:dyDescent="0.3"/>
  <cols>
    <col min="1" max="1" width="11.33203125" bestFit="1" customWidth="1"/>
    <col min="2" max="2" width="15.5546875" bestFit="1" customWidth="1"/>
  </cols>
  <sheetData>
    <row r="1" spans="1:2" x14ac:dyDescent="0.3">
      <c r="A1" s="11" t="s">
        <v>648</v>
      </c>
      <c r="B1" t="s">
        <v>41</v>
      </c>
    </row>
    <row r="2" spans="1:2" x14ac:dyDescent="0.3">
      <c r="A2" t="s">
        <v>29</v>
      </c>
      <c r="B2" s="6">
        <v>459.8</v>
      </c>
    </row>
    <row r="3" spans="1:2" x14ac:dyDescent="0.3">
      <c r="A3" t="s">
        <v>30</v>
      </c>
      <c r="B3" s="6">
        <v>1306.6499999999999</v>
      </c>
    </row>
    <row r="4" spans="1:2" x14ac:dyDescent="0.3">
      <c r="A4" t="s">
        <v>31</v>
      </c>
      <c r="B4" s="6">
        <v>299.10000000000002</v>
      </c>
    </row>
    <row r="5" spans="1:2" x14ac:dyDescent="0.3">
      <c r="A5" t="s">
        <v>32</v>
      </c>
      <c r="B5" s="6">
        <v>139.5</v>
      </c>
    </row>
    <row r="6" spans="1:2" x14ac:dyDescent="0.3">
      <c r="A6" t="s">
        <v>33</v>
      </c>
      <c r="B6" s="6">
        <v>202.1</v>
      </c>
    </row>
    <row r="7" spans="1:2" x14ac:dyDescent="0.3">
      <c r="A7" t="s">
        <v>34</v>
      </c>
      <c r="B7" s="6">
        <v>1211.3999999999999</v>
      </c>
    </row>
    <row r="8" spans="1:2" x14ac:dyDescent="0.3">
      <c r="A8" t="s">
        <v>35</v>
      </c>
      <c r="B8" s="6">
        <v>518.65000000000009</v>
      </c>
    </row>
    <row r="9" spans="1:2" x14ac:dyDescent="0.3">
      <c r="A9" t="s">
        <v>36</v>
      </c>
      <c r="B9" s="6">
        <v>574.15000000000009</v>
      </c>
    </row>
    <row r="10" spans="1:2" x14ac:dyDescent="0.3">
      <c r="A10" t="s">
        <v>37</v>
      </c>
      <c r="B10" s="6">
        <v>1161.72</v>
      </c>
    </row>
    <row r="11" spans="1:2" x14ac:dyDescent="0.3">
      <c r="A11" t="s">
        <v>38</v>
      </c>
      <c r="B11" s="6">
        <v>504.09000000000003</v>
      </c>
    </row>
    <row r="12" spans="1:2" x14ac:dyDescent="0.3">
      <c r="A12" t="s">
        <v>39</v>
      </c>
      <c r="B12" s="6">
        <v>678.42000000000007</v>
      </c>
    </row>
    <row r="13" spans="1:2" x14ac:dyDescent="0.3">
      <c r="A13" t="s">
        <v>40</v>
      </c>
      <c r="B13" s="6">
        <v>117.9</v>
      </c>
    </row>
    <row r="14" spans="1:2" x14ac:dyDescent="0.3">
      <c r="A14" t="s">
        <v>28</v>
      </c>
      <c r="B14" s="6">
        <v>7173.4799999999987</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08F821-0C2E-4EBD-942B-050E10D714E5}">
  <sheetPr codeName="Sheet7">
    <tabColor theme="5" tint="-0.249977111117893"/>
  </sheetPr>
  <dimension ref="A1"/>
  <sheetViews>
    <sheetView showGridLines="0" workbookViewId="0"/>
  </sheetViews>
  <sheetFormatPr defaultRowHeight="14.4" x14ac:dyDescent="0.3"/>
  <cols>
    <col min="1" max="1" width="2.88671875" customWidth="1"/>
  </cols>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8A77F-E240-4B6F-84DD-BD140F84A281}">
  <sheetPr codeName="Sheet8">
    <tabColor theme="5" tint="0.59999389629810485"/>
  </sheetPr>
  <dimension ref="A1:E11"/>
  <sheetViews>
    <sheetView showGridLines="0" zoomScaleNormal="100" workbookViewId="0">
      <selection activeCell="D12" sqref="D12"/>
    </sheetView>
  </sheetViews>
  <sheetFormatPr defaultRowHeight="14.4" x14ac:dyDescent="0.3"/>
  <cols>
    <col min="3" max="3" width="28.5546875" customWidth="1"/>
  </cols>
  <sheetData>
    <row r="1" spans="1:5" ht="15.75" customHeight="1" x14ac:dyDescent="0.3"/>
    <row r="2" spans="1:5" ht="15.75" customHeight="1" x14ac:dyDescent="0.5">
      <c r="C2" s="45" t="s">
        <v>43</v>
      </c>
      <c r="D2" s="15"/>
      <c r="E2" s="15"/>
    </row>
    <row r="3" spans="1:5" ht="15.75" customHeight="1" x14ac:dyDescent="0.5">
      <c r="C3" s="45"/>
      <c r="D3" s="15"/>
      <c r="E3" s="15"/>
    </row>
    <row r="4" spans="1:5" ht="15.75" customHeight="1" thickBot="1" x14ac:dyDescent="0.55000000000000004">
      <c r="A4" s="16"/>
      <c r="B4" s="16"/>
      <c r="C4" s="46"/>
      <c r="D4" s="15"/>
      <c r="E4" s="15"/>
    </row>
    <row r="5" spans="1:5" ht="15.75" customHeight="1" thickBot="1" x14ac:dyDescent="0.35"/>
    <row r="6" spans="1:5" ht="15.75" customHeight="1" thickBot="1" x14ac:dyDescent="0.35">
      <c r="B6" s="4" t="s">
        <v>45</v>
      </c>
      <c r="C6" s="41" t="s">
        <v>106</v>
      </c>
    </row>
    <row r="7" spans="1:5" ht="15.75" customHeight="1" thickBot="1" x14ac:dyDescent="0.35"/>
    <row r="8" spans="1:5" ht="15.75" customHeight="1" thickBot="1" x14ac:dyDescent="0.35">
      <c r="B8" s="4" t="s">
        <v>137</v>
      </c>
      <c r="C8" s="17">
        <f>IFERROR(INDEX('Beer Prices'!$A$1:$E$31,MATCH('Team Selector'!$C$6,'Beer Prices'!$A$1:$A$31,0),MATCH('Team Selector'!$B8,'Beer Prices'!$A$1:$E$1,0)),"-")</f>
        <v>6</v>
      </c>
    </row>
    <row r="9" spans="1:5" ht="15.75" customHeight="1" thickBot="1" x14ac:dyDescent="0.35">
      <c r="B9" s="4" t="s">
        <v>136</v>
      </c>
      <c r="C9" s="21">
        <f>IFERROR(INDEX('Beer Prices'!$A$1:$E$31,MATCH('Team Selector'!$C$6,'Beer Prices'!$A$1:$A$31,0),MATCH('Team Selector'!$B9,'Beer Prices'!$A$1:$E$1,0)),"-")</f>
        <v>12</v>
      </c>
    </row>
    <row r="10" spans="1:5" ht="15.75" customHeight="1" thickBot="1" x14ac:dyDescent="0.35"/>
    <row r="11" spans="1:5" ht="15.75" customHeight="1" thickBot="1" x14ac:dyDescent="0.35">
      <c r="B11" s="4" t="s">
        <v>633</v>
      </c>
      <c r="C11" s="20">
        <f>IFERROR(C8/C9,"-")</f>
        <v>0.5</v>
      </c>
    </row>
  </sheetData>
  <mergeCells count="1">
    <mergeCell ref="C2:C4"/>
  </mergeCells>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F9955904-7A83-4095-8994-8A5736ECAB7B}">
          <x14:formula1>
            <xm:f>'Beer Prices'!$A$2:$A$31</xm:f>
          </x14:formula1>
          <xm:sqref>C6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6CCAAD-0F45-400A-AF28-A32F649A8BD1}">
  <sheetPr codeName="Sheet9">
    <tabColor theme="5" tint="0.59999389629810485"/>
  </sheetPr>
  <dimension ref="A1:E31"/>
  <sheetViews>
    <sheetView workbookViewId="0">
      <selection activeCell="I3" sqref="I3"/>
    </sheetView>
  </sheetViews>
  <sheetFormatPr defaultRowHeight="14.4" outlineLevelCol="2" x14ac:dyDescent="0.3"/>
  <cols>
    <col min="1" max="1" width="21.44140625" bestFit="1" customWidth="1"/>
    <col min="2" max="3" width="14.33203125" customWidth="1" outlineLevel="2"/>
    <col min="5" max="5" width="9.6640625" customWidth="1"/>
  </cols>
  <sheetData>
    <row r="1" spans="1:5" x14ac:dyDescent="0.3">
      <c r="A1" s="18" t="s">
        <v>45</v>
      </c>
      <c r="B1" s="18" t="s">
        <v>46</v>
      </c>
      <c r="C1" s="18" t="s">
        <v>47</v>
      </c>
      <c r="D1" s="18" t="s">
        <v>137</v>
      </c>
      <c r="E1" s="18" t="s">
        <v>136</v>
      </c>
    </row>
    <row r="2" spans="1:5" x14ac:dyDescent="0.3">
      <c r="A2" t="s">
        <v>48</v>
      </c>
      <c r="B2" t="s">
        <v>49</v>
      </c>
      <c r="C2" t="s">
        <v>50</v>
      </c>
      <c r="D2" s="19">
        <v>4</v>
      </c>
      <c r="E2" s="1">
        <v>14</v>
      </c>
    </row>
    <row r="3" spans="1:5" x14ac:dyDescent="0.3">
      <c r="A3" t="s">
        <v>51</v>
      </c>
      <c r="B3" t="s">
        <v>52</v>
      </c>
      <c r="C3" t="s">
        <v>53</v>
      </c>
      <c r="D3" s="19">
        <v>5</v>
      </c>
      <c r="E3" s="1">
        <v>12</v>
      </c>
    </row>
    <row r="4" spans="1:5" x14ac:dyDescent="0.3">
      <c r="A4" t="s">
        <v>54</v>
      </c>
      <c r="B4" t="s">
        <v>55</v>
      </c>
      <c r="C4" t="s">
        <v>56</v>
      </c>
      <c r="D4" s="19">
        <v>4</v>
      </c>
      <c r="E4" s="1">
        <v>12</v>
      </c>
    </row>
    <row r="5" spans="1:5" x14ac:dyDescent="0.3">
      <c r="A5" t="s">
        <v>57</v>
      </c>
      <c r="B5" t="s">
        <v>58</v>
      </c>
      <c r="C5" t="s">
        <v>59</v>
      </c>
      <c r="D5" s="19">
        <v>8</v>
      </c>
      <c r="E5" s="1">
        <v>12</v>
      </c>
    </row>
    <row r="6" spans="1:5" x14ac:dyDescent="0.3">
      <c r="A6" t="s">
        <v>60</v>
      </c>
      <c r="B6" t="s">
        <v>61</v>
      </c>
      <c r="C6" t="s">
        <v>62</v>
      </c>
      <c r="D6" s="19">
        <v>9</v>
      </c>
      <c r="E6" s="1">
        <v>20</v>
      </c>
    </row>
    <row r="7" spans="1:5" x14ac:dyDescent="0.3">
      <c r="A7" t="s">
        <v>63</v>
      </c>
      <c r="B7" t="s">
        <v>64</v>
      </c>
      <c r="C7" t="s">
        <v>62</v>
      </c>
      <c r="D7" s="19">
        <v>7</v>
      </c>
      <c r="E7" s="1">
        <v>16</v>
      </c>
    </row>
    <row r="8" spans="1:5" x14ac:dyDescent="0.3">
      <c r="A8" t="s">
        <v>65</v>
      </c>
      <c r="B8" t="s">
        <v>66</v>
      </c>
      <c r="C8" t="s">
        <v>67</v>
      </c>
      <c r="D8" s="19">
        <v>6.25</v>
      </c>
      <c r="E8" s="1">
        <v>14</v>
      </c>
    </row>
    <row r="9" spans="1:5" x14ac:dyDescent="0.3">
      <c r="A9" t="s">
        <v>68</v>
      </c>
      <c r="B9" t="s">
        <v>69</v>
      </c>
      <c r="C9" t="s">
        <v>70</v>
      </c>
      <c r="D9" s="19">
        <v>5</v>
      </c>
      <c r="E9" s="1">
        <v>12</v>
      </c>
    </row>
    <row r="10" spans="1:5" x14ac:dyDescent="0.3">
      <c r="A10" t="s">
        <v>71</v>
      </c>
      <c r="B10" t="s">
        <v>72</v>
      </c>
      <c r="C10" t="s">
        <v>73</v>
      </c>
      <c r="D10" s="19">
        <v>3</v>
      </c>
      <c r="E10" s="1">
        <v>12</v>
      </c>
    </row>
    <row r="11" spans="1:5" x14ac:dyDescent="0.3">
      <c r="A11" t="s">
        <v>74</v>
      </c>
      <c r="B11" t="s">
        <v>75</v>
      </c>
      <c r="C11" t="s">
        <v>76</v>
      </c>
      <c r="D11" s="19">
        <v>5</v>
      </c>
      <c r="E11" s="1">
        <v>12</v>
      </c>
    </row>
    <row r="12" spans="1:5" x14ac:dyDescent="0.3">
      <c r="A12" t="s">
        <v>77</v>
      </c>
      <c r="B12" t="s">
        <v>78</v>
      </c>
      <c r="C12" t="s">
        <v>79</v>
      </c>
      <c r="D12" s="19">
        <v>6</v>
      </c>
      <c r="E12" s="1">
        <v>14</v>
      </c>
    </row>
    <row r="13" spans="1:5" x14ac:dyDescent="0.3">
      <c r="A13" t="s">
        <v>80</v>
      </c>
      <c r="B13" t="s">
        <v>81</v>
      </c>
      <c r="C13" t="s">
        <v>82</v>
      </c>
      <c r="D13" s="19">
        <v>4</v>
      </c>
      <c r="E13" s="1">
        <v>12</v>
      </c>
    </row>
    <row r="14" spans="1:5" x14ac:dyDescent="0.3">
      <c r="A14" t="s">
        <v>83</v>
      </c>
      <c r="B14" t="s">
        <v>84</v>
      </c>
      <c r="C14" t="s">
        <v>85</v>
      </c>
      <c r="D14" s="19">
        <v>4.5</v>
      </c>
      <c r="E14" s="1">
        <v>12</v>
      </c>
    </row>
    <row r="15" spans="1:5" x14ac:dyDescent="0.3">
      <c r="A15" t="s">
        <v>86</v>
      </c>
      <c r="B15" t="s">
        <v>87</v>
      </c>
      <c r="C15" t="s">
        <v>88</v>
      </c>
      <c r="D15" s="19">
        <v>6.25</v>
      </c>
      <c r="E15" s="1">
        <v>16</v>
      </c>
    </row>
    <row r="16" spans="1:5" x14ac:dyDescent="0.3">
      <c r="A16" t="s">
        <v>89</v>
      </c>
      <c r="B16" t="s">
        <v>90</v>
      </c>
      <c r="C16" t="s">
        <v>91</v>
      </c>
      <c r="D16" s="19">
        <v>6</v>
      </c>
      <c r="E16" s="1">
        <v>12</v>
      </c>
    </row>
    <row r="17" spans="1:5" x14ac:dyDescent="0.3">
      <c r="A17" t="s">
        <v>92</v>
      </c>
      <c r="B17" t="s">
        <v>93</v>
      </c>
      <c r="C17" t="s">
        <v>94</v>
      </c>
      <c r="D17" s="19">
        <v>7</v>
      </c>
      <c r="E17" s="1">
        <v>16</v>
      </c>
    </row>
    <row r="18" spans="1:5" x14ac:dyDescent="0.3">
      <c r="A18" t="s">
        <v>95</v>
      </c>
      <c r="B18" t="s">
        <v>96</v>
      </c>
      <c r="C18" t="s">
        <v>97</v>
      </c>
      <c r="D18" s="19">
        <v>8.5</v>
      </c>
      <c r="E18" s="1">
        <v>20</v>
      </c>
    </row>
    <row r="19" spans="1:5" x14ac:dyDescent="0.3">
      <c r="A19" t="s">
        <v>98</v>
      </c>
      <c r="B19" t="s">
        <v>99</v>
      </c>
      <c r="C19" t="s">
        <v>100</v>
      </c>
      <c r="D19" s="19">
        <v>10.5</v>
      </c>
      <c r="E19" s="1">
        <v>20</v>
      </c>
    </row>
    <row r="20" spans="1:5" x14ac:dyDescent="0.3">
      <c r="A20" t="s">
        <v>101</v>
      </c>
      <c r="B20" t="s">
        <v>102</v>
      </c>
      <c r="C20" t="s">
        <v>100</v>
      </c>
      <c r="D20" s="19">
        <v>6</v>
      </c>
      <c r="E20" s="1">
        <v>12</v>
      </c>
    </row>
    <row r="21" spans="1:5" x14ac:dyDescent="0.3">
      <c r="A21" t="s">
        <v>103</v>
      </c>
      <c r="B21" t="s">
        <v>104</v>
      </c>
      <c r="C21" t="s">
        <v>105</v>
      </c>
      <c r="D21" s="19">
        <v>5.5</v>
      </c>
      <c r="E21" s="1">
        <v>12</v>
      </c>
    </row>
    <row r="22" spans="1:5" x14ac:dyDescent="0.3">
      <c r="A22" t="s">
        <v>106</v>
      </c>
      <c r="B22" t="s">
        <v>107</v>
      </c>
      <c r="C22" t="s">
        <v>108</v>
      </c>
      <c r="D22" s="19">
        <v>6</v>
      </c>
      <c r="E22" s="1">
        <v>12</v>
      </c>
    </row>
    <row r="23" spans="1:5" x14ac:dyDescent="0.3">
      <c r="A23" t="s">
        <v>109</v>
      </c>
      <c r="B23" t="s">
        <v>110</v>
      </c>
      <c r="C23" t="s">
        <v>111</v>
      </c>
      <c r="D23" s="19">
        <v>6</v>
      </c>
      <c r="E23" s="1">
        <v>16</v>
      </c>
    </row>
    <row r="24" spans="1:5" x14ac:dyDescent="0.3">
      <c r="A24" t="s">
        <v>112</v>
      </c>
      <c r="B24" t="s">
        <v>113</v>
      </c>
      <c r="C24" t="s">
        <v>114</v>
      </c>
      <c r="D24" s="19">
        <v>5</v>
      </c>
      <c r="E24" s="1">
        <v>12</v>
      </c>
    </row>
    <row r="25" spans="1:5" x14ac:dyDescent="0.3">
      <c r="A25" t="s">
        <v>115</v>
      </c>
      <c r="B25" t="s">
        <v>116</v>
      </c>
      <c r="C25" t="s">
        <v>117</v>
      </c>
      <c r="D25" s="19">
        <v>8.25</v>
      </c>
      <c r="E25" s="1">
        <v>14</v>
      </c>
    </row>
    <row r="26" spans="1:5" x14ac:dyDescent="0.3">
      <c r="A26" t="s">
        <v>118</v>
      </c>
      <c r="B26" t="s">
        <v>119</v>
      </c>
      <c r="C26" t="s">
        <v>120</v>
      </c>
      <c r="D26" s="19">
        <v>5</v>
      </c>
      <c r="E26" s="1">
        <v>12</v>
      </c>
    </row>
    <row r="27" spans="1:5" x14ac:dyDescent="0.3">
      <c r="A27" t="s">
        <v>121</v>
      </c>
      <c r="B27" t="s">
        <v>122</v>
      </c>
      <c r="C27" t="s">
        <v>123</v>
      </c>
      <c r="D27" s="19">
        <v>5</v>
      </c>
      <c r="E27" s="1">
        <v>12</v>
      </c>
    </row>
    <row r="28" spans="1:5" x14ac:dyDescent="0.3">
      <c r="A28" t="s">
        <v>124</v>
      </c>
      <c r="B28" t="s">
        <v>125</v>
      </c>
      <c r="C28" t="s">
        <v>126</v>
      </c>
      <c r="D28" s="19">
        <v>5</v>
      </c>
      <c r="E28" s="1">
        <v>12</v>
      </c>
    </row>
    <row r="29" spans="1:5" x14ac:dyDescent="0.3">
      <c r="A29" t="s">
        <v>127</v>
      </c>
      <c r="B29" t="s">
        <v>128</v>
      </c>
      <c r="C29" t="s">
        <v>129</v>
      </c>
      <c r="D29" s="19">
        <v>6</v>
      </c>
      <c r="E29" s="1">
        <v>16</v>
      </c>
    </row>
    <row r="30" spans="1:5" x14ac:dyDescent="0.3">
      <c r="A30" t="s">
        <v>130</v>
      </c>
      <c r="B30" t="s">
        <v>131</v>
      </c>
      <c r="C30" t="s">
        <v>132</v>
      </c>
      <c r="D30" s="19">
        <v>5.67</v>
      </c>
      <c r="E30" s="1">
        <v>14</v>
      </c>
    </row>
    <row r="31" spans="1:5" x14ac:dyDescent="0.3">
      <c r="A31" t="s">
        <v>133</v>
      </c>
      <c r="B31" t="s">
        <v>134</v>
      </c>
      <c r="C31" t="s">
        <v>135</v>
      </c>
      <c r="D31" s="19">
        <v>7</v>
      </c>
      <c r="E31" s="1">
        <v>14</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437877-E444-4725-9857-A307A1D29154}">
  <sheetPr codeName="Sheet10">
    <tabColor theme="5" tint="0.59999389629810485"/>
  </sheetPr>
  <dimension ref="A1:G31"/>
  <sheetViews>
    <sheetView workbookViewId="0">
      <selection activeCell="G3" sqref="G3"/>
    </sheetView>
  </sheetViews>
  <sheetFormatPr defaultRowHeight="14.4" x14ac:dyDescent="0.3"/>
  <cols>
    <col min="1" max="1" width="21.44140625" bestFit="1" customWidth="1"/>
    <col min="7" max="7" width="11.44140625" customWidth="1"/>
  </cols>
  <sheetData>
    <row r="1" spans="1:7" x14ac:dyDescent="0.3">
      <c r="A1" s="18" t="s">
        <v>45</v>
      </c>
      <c r="B1" s="18" t="s">
        <v>138</v>
      </c>
      <c r="C1" s="18" t="s">
        <v>139</v>
      </c>
      <c r="D1" s="18" t="s">
        <v>140</v>
      </c>
      <c r="E1" s="18" t="s">
        <v>141</v>
      </c>
      <c r="F1" s="18" t="s">
        <v>142</v>
      </c>
      <c r="G1" s="18" t="s">
        <v>143</v>
      </c>
    </row>
    <row r="2" spans="1:7" x14ac:dyDescent="0.3">
      <c r="A2" t="s">
        <v>48</v>
      </c>
      <c r="B2" s="19">
        <v>0.28999999999999998</v>
      </c>
      <c r="C2" s="19">
        <v>0.28999999999999998</v>
      </c>
      <c r="D2" s="19">
        <v>0.28999999999999998</v>
      </c>
      <c r="E2" s="19">
        <v>0.28999999999999998</v>
      </c>
      <c r="F2" s="19">
        <v>0.28999999999999998</v>
      </c>
      <c r="G2" t="str">
        <f>IF(PricePerOunce[[#This Row],[2018]]=PricePerOunce[[#This Row],[2013]],"None",IF(OR(PricePerOunce[[#This Row],[2018]]&gt;PricePerOunce[[#This Row],[2016]],PricePerOunce[[#This Row],[2018]]&gt;AVERAGE(PricePerOunce[[#This Row],[2013]:[2016]])),"Increase","Decrease"))</f>
        <v>None</v>
      </c>
    </row>
    <row r="3" spans="1:7" x14ac:dyDescent="0.3">
      <c r="A3" t="s">
        <v>51</v>
      </c>
      <c r="B3" s="19">
        <v>0.45</v>
      </c>
      <c r="C3" s="19">
        <v>0.45</v>
      </c>
      <c r="D3" s="19">
        <v>0.45</v>
      </c>
      <c r="E3" s="19">
        <v>0.48</v>
      </c>
      <c r="F3" s="19">
        <v>0.42</v>
      </c>
      <c r="G3" t="str">
        <f>IF(PricePerOunce[[#This Row],[2018]]=PricePerOunce[[#This Row],[2013]],"None",IF(OR(PricePerOunce[[#This Row],[2018]]&gt;PricePerOunce[[#This Row],[2016]],PricePerOunce[[#This Row],[2018]]&gt;AVERAGE(PricePerOunce[[#This Row],[2013]:[2016]])),"Increase","Decrease"))</f>
        <v>Decrease</v>
      </c>
    </row>
    <row r="4" spans="1:7" x14ac:dyDescent="0.3">
      <c r="A4" t="s">
        <v>54</v>
      </c>
      <c r="B4" s="19">
        <v>0.38</v>
      </c>
      <c r="C4" s="19">
        <v>0.42</v>
      </c>
      <c r="D4" s="19">
        <v>0.42</v>
      </c>
      <c r="E4" s="19">
        <v>0.42</v>
      </c>
      <c r="F4" s="19">
        <v>0.33</v>
      </c>
      <c r="G4" t="str">
        <f>IF(PricePerOunce[[#This Row],[2018]]=PricePerOunce[[#This Row],[2013]],"None",IF(OR(PricePerOunce[[#This Row],[2018]]&gt;PricePerOunce[[#This Row],[2016]],PricePerOunce[[#This Row],[2018]]&gt;AVERAGE(PricePerOunce[[#This Row],[2013]:[2016]])),"Increase","Decrease"))</f>
        <v>Decrease</v>
      </c>
    </row>
    <row r="5" spans="1:7" x14ac:dyDescent="0.3">
      <c r="A5" t="s">
        <v>57</v>
      </c>
      <c r="B5" s="19">
        <v>0.6</v>
      </c>
      <c r="C5" s="19">
        <v>0.65</v>
      </c>
      <c r="D5" s="19">
        <v>0.65</v>
      </c>
      <c r="E5" s="19">
        <v>0.65</v>
      </c>
      <c r="F5" s="19">
        <v>0.67</v>
      </c>
      <c r="G5" t="str">
        <f>IF(PricePerOunce[[#This Row],[2018]]=PricePerOunce[[#This Row],[2013]],"None",IF(OR(PricePerOunce[[#This Row],[2018]]&gt;PricePerOunce[[#This Row],[2016]],PricePerOunce[[#This Row],[2018]]&gt;AVERAGE(PricePerOunce[[#This Row],[2013]:[2016]])),"Increase","Decrease"))</f>
        <v>Increase</v>
      </c>
    </row>
    <row r="6" spans="1:7" x14ac:dyDescent="0.3">
      <c r="A6" t="s">
        <v>60</v>
      </c>
      <c r="B6" s="19">
        <v>0.45</v>
      </c>
      <c r="C6" s="19">
        <v>0.47</v>
      </c>
      <c r="D6" s="19">
        <v>0.47</v>
      </c>
      <c r="E6" s="19">
        <v>0.47</v>
      </c>
      <c r="F6" s="19">
        <v>0.45</v>
      </c>
      <c r="G6" t="str">
        <f>IF(PricePerOunce[[#This Row],[2018]]=PricePerOunce[[#This Row],[2013]],"None",IF(OR(PricePerOunce[[#This Row],[2018]]&gt;PricePerOunce[[#This Row],[2016]],PricePerOunce[[#This Row],[2018]]&gt;AVERAGE(PricePerOunce[[#This Row],[2013]:[2016]])),"Increase","Decrease"))</f>
        <v>None</v>
      </c>
    </row>
    <row r="7" spans="1:7" x14ac:dyDescent="0.3">
      <c r="A7" t="s">
        <v>63</v>
      </c>
      <c r="B7" s="19">
        <v>0.41</v>
      </c>
      <c r="C7" s="19">
        <v>0.41</v>
      </c>
      <c r="D7" s="19">
        <v>0.41</v>
      </c>
      <c r="E7" s="19">
        <v>0.41</v>
      </c>
      <c r="F7" s="19">
        <v>0.44</v>
      </c>
      <c r="G7" t="str">
        <f>IF(PricePerOunce[[#This Row],[2018]]=PricePerOunce[[#This Row],[2013]],"None",IF(OR(PricePerOunce[[#This Row],[2018]]&gt;PricePerOunce[[#This Row],[2016]],PricePerOunce[[#This Row],[2018]]&gt;AVERAGE(PricePerOunce[[#This Row],[2013]:[2016]])),"Increase","Decrease"))</f>
        <v>Increase</v>
      </c>
    </row>
    <row r="8" spans="1:7" x14ac:dyDescent="0.3">
      <c r="A8" t="s">
        <v>65</v>
      </c>
      <c r="B8" s="19">
        <v>0.46</v>
      </c>
      <c r="C8" s="19">
        <v>0.46</v>
      </c>
      <c r="D8" s="19">
        <v>0.46</v>
      </c>
      <c r="E8" s="19">
        <v>0.38</v>
      </c>
      <c r="F8" s="19">
        <v>0.45</v>
      </c>
      <c r="G8" t="str">
        <f>IF(PricePerOunce[[#This Row],[2018]]=PricePerOunce[[#This Row],[2013]],"None",IF(OR(PricePerOunce[[#This Row],[2018]]&gt;PricePerOunce[[#This Row],[2016]],PricePerOunce[[#This Row],[2018]]&gt;AVERAGE(PricePerOunce[[#This Row],[2013]:[2016]])),"Increase","Decrease"))</f>
        <v>Increase</v>
      </c>
    </row>
    <row r="9" spans="1:7" x14ac:dyDescent="0.3">
      <c r="A9" t="s">
        <v>68</v>
      </c>
      <c r="B9" s="19">
        <v>0.33</v>
      </c>
      <c r="C9" s="19">
        <v>0.33</v>
      </c>
      <c r="D9" s="19">
        <v>0.33</v>
      </c>
      <c r="E9" s="19">
        <v>0.33</v>
      </c>
      <c r="F9" s="19">
        <v>0.42</v>
      </c>
      <c r="G9" t="str">
        <f>IF(PricePerOunce[[#This Row],[2018]]=PricePerOunce[[#This Row],[2013]],"None",IF(OR(PricePerOunce[[#This Row],[2018]]&gt;PricePerOunce[[#This Row],[2016]],PricePerOunce[[#This Row],[2018]]&gt;AVERAGE(PricePerOunce[[#This Row],[2013]:[2016]])),"Increase","Decrease"))</f>
        <v>Increase</v>
      </c>
    </row>
    <row r="10" spans="1:7" x14ac:dyDescent="0.3">
      <c r="A10" t="s">
        <v>71</v>
      </c>
      <c r="B10" s="19">
        <v>0.38</v>
      </c>
      <c r="C10" s="19">
        <v>0.38</v>
      </c>
      <c r="D10" s="19">
        <v>0.38</v>
      </c>
      <c r="E10" s="19">
        <v>0.25</v>
      </c>
      <c r="F10" s="19">
        <v>0.25</v>
      </c>
      <c r="G10" t="str">
        <f>IF(PricePerOunce[[#This Row],[2018]]=PricePerOunce[[#This Row],[2013]],"None",IF(OR(PricePerOunce[[#This Row],[2018]]&gt;PricePerOunce[[#This Row],[2016]],PricePerOunce[[#This Row],[2018]]&gt;AVERAGE(PricePerOunce[[#This Row],[2013]:[2016]])),"Increase","Decrease"))</f>
        <v>Decrease</v>
      </c>
    </row>
    <row r="11" spans="1:7" x14ac:dyDescent="0.3">
      <c r="A11" t="s">
        <v>74</v>
      </c>
      <c r="B11" s="19">
        <v>0.42</v>
      </c>
      <c r="C11" s="19">
        <v>0.42</v>
      </c>
      <c r="D11" s="19">
        <v>0.42</v>
      </c>
      <c r="E11" s="19">
        <v>0.42</v>
      </c>
      <c r="F11" s="19">
        <v>0.42</v>
      </c>
      <c r="G11" t="str">
        <f>IF(PricePerOunce[[#This Row],[2018]]=PricePerOunce[[#This Row],[2013]],"None",IF(OR(PricePerOunce[[#This Row],[2018]]&gt;PricePerOunce[[#This Row],[2016]],PricePerOunce[[#This Row],[2018]]&gt;AVERAGE(PricePerOunce[[#This Row],[2013]:[2016]])),"Increase","Decrease"))</f>
        <v>None</v>
      </c>
    </row>
    <row r="12" spans="1:7" x14ac:dyDescent="0.3">
      <c r="A12" t="s">
        <v>77</v>
      </c>
      <c r="B12" s="19">
        <v>0.36</v>
      </c>
      <c r="C12" s="19">
        <v>0.36</v>
      </c>
      <c r="D12" s="19">
        <v>0.36</v>
      </c>
      <c r="E12" s="19">
        <v>0.36</v>
      </c>
      <c r="F12" s="19">
        <v>0.43</v>
      </c>
      <c r="G12" t="str">
        <f>IF(PricePerOunce[[#This Row],[2018]]=PricePerOunce[[#This Row],[2013]],"None",IF(OR(PricePerOunce[[#This Row],[2018]]&gt;PricePerOunce[[#This Row],[2016]],PricePerOunce[[#This Row],[2018]]&gt;AVERAGE(PricePerOunce[[#This Row],[2013]:[2016]])),"Increase","Decrease"))</f>
        <v>Increase</v>
      </c>
    </row>
    <row r="13" spans="1:7" x14ac:dyDescent="0.3">
      <c r="A13" t="s">
        <v>80</v>
      </c>
      <c r="B13" s="19">
        <v>0.41</v>
      </c>
      <c r="C13" s="19">
        <v>0.41</v>
      </c>
      <c r="D13" s="19">
        <v>0.41</v>
      </c>
      <c r="E13" s="19">
        <v>0.41</v>
      </c>
      <c r="F13" s="19">
        <v>0.33</v>
      </c>
      <c r="G13" t="str">
        <f>IF(PricePerOunce[[#This Row],[2018]]=PricePerOunce[[#This Row],[2013]],"None",IF(OR(PricePerOunce[[#This Row],[2018]]&gt;PricePerOunce[[#This Row],[2016]],PricePerOunce[[#This Row],[2018]]&gt;AVERAGE(PricePerOunce[[#This Row],[2013]:[2016]])),"Increase","Decrease"))</f>
        <v>Decrease</v>
      </c>
    </row>
    <row r="14" spans="1:7" x14ac:dyDescent="0.3">
      <c r="A14" t="s">
        <v>83</v>
      </c>
      <c r="B14" s="19">
        <v>0.28000000000000003</v>
      </c>
      <c r="C14" s="19">
        <v>0.28000000000000003</v>
      </c>
      <c r="D14" s="19">
        <v>0.28000000000000003</v>
      </c>
      <c r="E14" s="19">
        <v>0.28000000000000003</v>
      </c>
      <c r="F14" s="19">
        <v>0.38</v>
      </c>
      <c r="G14" t="str">
        <f>IF(PricePerOunce[[#This Row],[2018]]=PricePerOunce[[#This Row],[2013]],"None",IF(OR(PricePerOunce[[#This Row],[2018]]&gt;PricePerOunce[[#This Row],[2016]],PricePerOunce[[#This Row],[2018]]&gt;AVERAGE(PricePerOunce[[#This Row],[2013]:[2016]])),"Increase","Decrease"))</f>
        <v>Increase</v>
      </c>
    </row>
    <row r="15" spans="1:7" x14ac:dyDescent="0.3">
      <c r="A15" t="s">
        <v>86</v>
      </c>
      <c r="B15" s="19">
        <v>0.39</v>
      </c>
      <c r="C15" s="19">
        <v>0.34</v>
      </c>
      <c r="D15" s="19">
        <v>0.34</v>
      </c>
      <c r="E15" s="19">
        <v>0.31</v>
      </c>
      <c r="F15" s="19">
        <v>0.39</v>
      </c>
      <c r="G15" t="str">
        <f>IF(PricePerOunce[[#This Row],[2018]]=PricePerOunce[[#This Row],[2013]],"None",IF(OR(PricePerOunce[[#This Row],[2018]]&gt;PricePerOunce[[#This Row],[2016]],PricePerOunce[[#This Row],[2018]]&gt;AVERAGE(PricePerOunce[[#This Row],[2013]:[2016]])),"Increase","Decrease"))</f>
        <v>None</v>
      </c>
    </row>
    <row r="16" spans="1:7" x14ac:dyDescent="0.3">
      <c r="A16" t="s">
        <v>89</v>
      </c>
      <c r="B16" s="19">
        <v>0.4</v>
      </c>
      <c r="C16" s="19">
        <v>0.5</v>
      </c>
      <c r="D16" s="19">
        <v>0.5</v>
      </c>
      <c r="E16" s="19">
        <v>0.5</v>
      </c>
      <c r="F16" s="19">
        <v>0.5</v>
      </c>
      <c r="G16" t="str">
        <f>IF(PricePerOunce[[#This Row],[2018]]=PricePerOunce[[#This Row],[2013]],"None",IF(OR(PricePerOunce[[#This Row],[2018]]&gt;PricePerOunce[[#This Row],[2016]],PricePerOunce[[#This Row],[2018]]&gt;AVERAGE(PricePerOunce[[#This Row],[2013]:[2016]])),"Increase","Decrease"))</f>
        <v>Increase</v>
      </c>
    </row>
    <row r="17" spans="1:7" x14ac:dyDescent="0.3">
      <c r="A17" t="s">
        <v>92</v>
      </c>
      <c r="B17" s="19">
        <v>0.38</v>
      </c>
      <c r="C17" s="19">
        <v>0.38</v>
      </c>
      <c r="D17" s="19">
        <v>0.38</v>
      </c>
      <c r="E17" s="19">
        <v>0.38</v>
      </c>
      <c r="F17" s="19">
        <v>0.44</v>
      </c>
      <c r="G17" t="str">
        <f>IF(PricePerOunce[[#This Row],[2018]]=PricePerOunce[[#This Row],[2013]],"None",IF(OR(PricePerOunce[[#This Row],[2018]]&gt;PricePerOunce[[#This Row],[2016]],PricePerOunce[[#This Row],[2018]]&gt;AVERAGE(PricePerOunce[[#This Row],[2013]:[2016]])),"Increase","Decrease"))</f>
        <v>Increase</v>
      </c>
    </row>
    <row r="18" spans="1:7" x14ac:dyDescent="0.3">
      <c r="A18" t="s">
        <v>95</v>
      </c>
      <c r="B18" s="19">
        <v>0.38</v>
      </c>
      <c r="C18" s="19">
        <v>0.38</v>
      </c>
      <c r="D18" s="19">
        <v>0.38</v>
      </c>
      <c r="E18" s="19">
        <v>0.38</v>
      </c>
      <c r="F18" s="19">
        <v>0.43</v>
      </c>
      <c r="G18" t="str">
        <f>IF(PricePerOunce[[#This Row],[2018]]=PricePerOunce[[#This Row],[2013]],"None",IF(OR(PricePerOunce[[#This Row],[2018]]&gt;PricePerOunce[[#This Row],[2016]],PricePerOunce[[#This Row],[2018]]&gt;AVERAGE(PricePerOunce[[#This Row],[2013]:[2016]])),"Increase","Decrease"))</f>
        <v>Increase</v>
      </c>
    </row>
    <row r="19" spans="1:7" x14ac:dyDescent="0.3">
      <c r="A19" t="s">
        <v>98</v>
      </c>
      <c r="B19" s="19">
        <v>0.48</v>
      </c>
      <c r="C19" s="19">
        <v>0.48</v>
      </c>
      <c r="D19" s="19">
        <v>0.48</v>
      </c>
      <c r="E19" s="19">
        <v>0.48</v>
      </c>
      <c r="F19" s="19">
        <v>0.53</v>
      </c>
      <c r="G19" t="str">
        <f>IF(PricePerOunce[[#This Row],[2018]]=PricePerOunce[[#This Row],[2013]],"None",IF(OR(PricePerOunce[[#This Row],[2018]]&gt;PricePerOunce[[#This Row],[2016]],PricePerOunce[[#This Row],[2018]]&gt;AVERAGE(PricePerOunce[[#This Row],[2013]:[2016]])),"Increase","Decrease"))</f>
        <v>Increase</v>
      </c>
    </row>
    <row r="20" spans="1:7" x14ac:dyDescent="0.3">
      <c r="A20" t="s">
        <v>101</v>
      </c>
      <c r="B20" s="19">
        <v>0.5</v>
      </c>
      <c r="C20" s="19">
        <v>0.5</v>
      </c>
      <c r="D20" s="19">
        <v>0.5</v>
      </c>
      <c r="E20" s="19">
        <v>0.5</v>
      </c>
      <c r="F20" s="19">
        <v>0.5</v>
      </c>
      <c r="G20" t="str">
        <f>IF(PricePerOunce[[#This Row],[2018]]=PricePerOunce[[#This Row],[2013]],"None",IF(OR(PricePerOunce[[#This Row],[2018]]&gt;PricePerOunce[[#This Row],[2016]],PricePerOunce[[#This Row],[2018]]&gt;AVERAGE(PricePerOunce[[#This Row],[2013]:[2016]])),"Increase","Decrease"))</f>
        <v>None</v>
      </c>
    </row>
    <row r="21" spans="1:7" x14ac:dyDescent="0.3">
      <c r="A21" t="s">
        <v>103</v>
      </c>
      <c r="B21" s="19">
        <v>0.36</v>
      </c>
      <c r="C21" s="19">
        <v>0.42</v>
      </c>
      <c r="D21" s="19">
        <v>0.42</v>
      </c>
      <c r="E21" s="19">
        <v>0.42</v>
      </c>
      <c r="F21" s="19">
        <v>0.46</v>
      </c>
      <c r="G21" t="str">
        <f>IF(PricePerOunce[[#This Row],[2018]]=PricePerOunce[[#This Row],[2013]],"None",IF(OR(PricePerOunce[[#This Row],[2018]]&gt;PricePerOunce[[#This Row],[2016]],PricePerOunce[[#This Row],[2018]]&gt;AVERAGE(PricePerOunce[[#This Row],[2013]:[2016]])),"Increase","Decrease"))</f>
        <v>Increase</v>
      </c>
    </row>
    <row r="22" spans="1:7" x14ac:dyDescent="0.3">
      <c r="A22" t="s">
        <v>106</v>
      </c>
      <c r="B22" s="19">
        <v>0.37</v>
      </c>
      <c r="C22" s="19">
        <v>0.37</v>
      </c>
      <c r="D22" s="19">
        <v>0.37</v>
      </c>
      <c r="E22" s="19">
        <v>0.37</v>
      </c>
      <c r="F22" s="19">
        <v>0.5</v>
      </c>
      <c r="G22" t="str">
        <f>IF(PricePerOunce[[#This Row],[2018]]=PricePerOunce[[#This Row],[2013]],"None",IF(OR(PricePerOunce[[#This Row],[2018]]&gt;PricePerOunce[[#This Row],[2016]],PricePerOunce[[#This Row],[2018]]&gt;AVERAGE(PricePerOunce[[#This Row],[2013]:[2016]])),"Increase","Decrease"))</f>
        <v>Increase</v>
      </c>
    </row>
    <row r="23" spans="1:7" x14ac:dyDescent="0.3">
      <c r="A23" t="s">
        <v>109</v>
      </c>
      <c r="B23" s="19">
        <v>0.34</v>
      </c>
      <c r="C23" s="19">
        <v>0.34</v>
      </c>
      <c r="D23" s="19">
        <v>0.34</v>
      </c>
      <c r="E23" s="19">
        <v>0.34</v>
      </c>
      <c r="F23" s="19">
        <v>0.38</v>
      </c>
      <c r="G23" t="str">
        <f>IF(PricePerOunce[[#This Row],[2018]]=PricePerOunce[[#This Row],[2013]],"None",IF(OR(PricePerOunce[[#This Row],[2018]]&gt;PricePerOunce[[#This Row],[2016]],PricePerOunce[[#This Row],[2018]]&gt;AVERAGE(PricePerOunce[[#This Row],[2013]:[2016]])),"Increase","Decrease"))</f>
        <v>Increase</v>
      </c>
    </row>
    <row r="24" spans="1:7" x14ac:dyDescent="0.3">
      <c r="A24" t="s">
        <v>112</v>
      </c>
      <c r="B24" s="19">
        <v>0.36</v>
      </c>
      <c r="C24" s="19">
        <v>0.36</v>
      </c>
      <c r="D24" s="19">
        <v>0.36</v>
      </c>
      <c r="E24" s="19">
        <v>0.36</v>
      </c>
      <c r="F24" s="19">
        <v>0.42</v>
      </c>
      <c r="G24" t="str">
        <f>IF(PricePerOunce[[#This Row],[2018]]=PricePerOunce[[#This Row],[2013]],"None",IF(OR(PricePerOunce[[#This Row],[2018]]&gt;PricePerOunce[[#This Row],[2016]],PricePerOunce[[#This Row],[2018]]&gt;AVERAGE(PricePerOunce[[#This Row],[2013]:[2016]])),"Increase","Decrease"))</f>
        <v>Increase</v>
      </c>
    </row>
    <row r="25" spans="1:7" x14ac:dyDescent="0.3">
      <c r="A25" t="s">
        <v>115</v>
      </c>
      <c r="B25" s="19">
        <v>0.42</v>
      </c>
      <c r="C25" s="19">
        <v>0.5</v>
      </c>
      <c r="D25" s="19">
        <v>0.5</v>
      </c>
      <c r="E25" s="19">
        <v>0.54</v>
      </c>
      <c r="F25" s="19">
        <v>0.59</v>
      </c>
      <c r="G25" t="str">
        <f>IF(PricePerOunce[[#This Row],[2018]]=PricePerOunce[[#This Row],[2013]],"None",IF(OR(PricePerOunce[[#This Row],[2018]]&gt;PricePerOunce[[#This Row],[2016]],PricePerOunce[[#This Row],[2018]]&gt;AVERAGE(PricePerOunce[[#This Row],[2013]:[2016]])),"Increase","Decrease"))</f>
        <v>Increase</v>
      </c>
    </row>
    <row r="26" spans="1:7" x14ac:dyDescent="0.3">
      <c r="A26" t="s">
        <v>118</v>
      </c>
      <c r="B26" s="19">
        <v>0.46</v>
      </c>
      <c r="C26" s="19">
        <v>0.5</v>
      </c>
      <c r="D26" s="19">
        <v>0.5</v>
      </c>
      <c r="E26" s="19">
        <v>0.38</v>
      </c>
      <c r="F26" s="19">
        <v>0.42</v>
      </c>
      <c r="G26" t="str">
        <f>IF(PricePerOunce[[#This Row],[2018]]=PricePerOunce[[#This Row],[2013]],"None",IF(OR(PricePerOunce[[#This Row],[2018]]&gt;PricePerOunce[[#This Row],[2016]],PricePerOunce[[#This Row],[2018]]&gt;AVERAGE(PricePerOunce[[#This Row],[2013]:[2016]])),"Increase","Decrease"))</f>
        <v>Increase</v>
      </c>
    </row>
    <row r="27" spans="1:7" x14ac:dyDescent="0.3">
      <c r="A27" t="s">
        <v>121</v>
      </c>
      <c r="B27" s="19">
        <v>0.56000000000000005</v>
      </c>
      <c r="C27" s="19">
        <v>0.56000000000000005</v>
      </c>
      <c r="D27" s="19">
        <v>0.56000000000000005</v>
      </c>
      <c r="E27" s="19">
        <v>0.42</v>
      </c>
      <c r="F27" s="19">
        <v>0.42</v>
      </c>
      <c r="G27" t="str">
        <f>IF(PricePerOunce[[#This Row],[2018]]=PricePerOunce[[#This Row],[2013]],"None",IF(OR(PricePerOunce[[#This Row],[2018]]&gt;PricePerOunce[[#This Row],[2016]],PricePerOunce[[#This Row],[2018]]&gt;AVERAGE(PricePerOunce[[#This Row],[2013]:[2016]])),"Increase","Decrease"))</f>
        <v>Decrease</v>
      </c>
    </row>
    <row r="28" spans="1:7" x14ac:dyDescent="0.3">
      <c r="A28" t="s">
        <v>124</v>
      </c>
      <c r="B28" s="19">
        <v>0.42</v>
      </c>
      <c r="C28" s="19">
        <v>0.42</v>
      </c>
      <c r="D28" s="19">
        <v>0.42</v>
      </c>
      <c r="E28" s="19">
        <v>0.42</v>
      </c>
      <c r="F28" s="19">
        <v>0.42</v>
      </c>
      <c r="G28" t="str">
        <f>IF(PricePerOunce[[#This Row],[2018]]=PricePerOunce[[#This Row],[2013]],"None",IF(OR(PricePerOunce[[#This Row],[2018]]&gt;PricePerOunce[[#This Row],[2016]],PricePerOunce[[#This Row],[2018]]&gt;AVERAGE(PricePerOunce[[#This Row],[2013]:[2016]])),"Increase","Decrease"))</f>
        <v>None</v>
      </c>
    </row>
    <row r="29" spans="1:7" x14ac:dyDescent="0.3">
      <c r="A29" t="s">
        <v>127</v>
      </c>
      <c r="B29" s="19">
        <v>0.31</v>
      </c>
      <c r="C29" s="19">
        <v>0.31</v>
      </c>
      <c r="D29" s="19">
        <v>0.31</v>
      </c>
      <c r="E29" s="19">
        <v>0.38</v>
      </c>
      <c r="F29" s="19">
        <v>0.38</v>
      </c>
      <c r="G29" t="str">
        <f>IF(PricePerOunce[[#This Row],[2018]]=PricePerOunce[[#This Row],[2013]],"None",IF(OR(PricePerOunce[[#This Row],[2018]]&gt;PricePerOunce[[#This Row],[2016]],PricePerOunce[[#This Row],[2018]]&gt;AVERAGE(PricePerOunce[[#This Row],[2013]:[2016]])),"Increase","Decrease"))</f>
        <v>Increase</v>
      </c>
    </row>
    <row r="30" spans="1:7" x14ac:dyDescent="0.3">
      <c r="A30" t="s">
        <v>130</v>
      </c>
      <c r="B30" s="19">
        <v>0.52</v>
      </c>
      <c r="C30" s="19">
        <v>0.49</v>
      </c>
      <c r="D30" s="19">
        <v>0.49</v>
      </c>
      <c r="E30" s="19">
        <v>0.49</v>
      </c>
      <c r="F30" s="19">
        <v>0.41</v>
      </c>
      <c r="G30" t="str">
        <f>IF(PricePerOunce[[#This Row],[2018]]=PricePerOunce[[#This Row],[2013]],"None",IF(OR(PricePerOunce[[#This Row],[2018]]&gt;PricePerOunce[[#This Row],[2016]],PricePerOunce[[#This Row],[2018]]&gt;AVERAGE(PricePerOunce[[#This Row],[2013]:[2016]])),"Increase","Decrease"))</f>
        <v>Decrease</v>
      </c>
    </row>
    <row r="31" spans="1:7" x14ac:dyDescent="0.3">
      <c r="A31" t="s">
        <v>133</v>
      </c>
      <c r="B31" s="19">
        <v>0.52</v>
      </c>
      <c r="C31" s="19">
        <v>0.41</v>
      </c>
      <c r="D31" s="19">
        <v>0.41</v>
      </c>
      <c r="E31" s="19">
        <v>0.41</v>
      </c>
      <c r="F31" s="19">
        <v>0.5</v>
      </c>
      <c r="G31" t="str">
        <f>IF(PricePerOunce[[#This Row],[2018]]=PricePerOunce[[#This Row],[2013]],"None",IF(OR(PricePerOunce[[#This Row],[2018]]&gt;PricePerOunce[[#This Row],[2016]],PricePerOunce[[#This Row],[2018]]&gt;AVERAGE(PricePerOunce[[#This Row],[2013]:[2016]])),"Increase","Decrease"))</f>
        <v>Increase</v>
      </c>
    </row>
  </sheetData>
  <conditionalFormatting sqref="B1:F1048576">
    <cfRule type="colorScale" priority="1">
      <colorScale>
        <cfvo type="min"/>
        <cfvo type="percentile" val="50"/>
        <cfvo type="max"/>
        <color rgb="FF63BE7B"/>
        <color rgb="FFFCFCFF"/>
        <color rgb="FFF8696B"/>
      </colorScale>
    </cfRule>
  </conditionalFormatting>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24DC98-164E-4A7E-B87A-D3F50E324558}">
  <sheetPr codeName="Sheet11">
    <tabColor theme="9" tint="-0.249977111117893"/>
  </sheetPr>
  <dimension ref="A1"/>
  <sheetViews>
    <sheetView showGridLines="0" workbookViewId="0"/>
  </sheetViews>
  <sheetFormatPr defaultRowHeight="14.4" x14ac:dyDescent="0.3"/>
  <cols>
    <col min="1" max="1" width="2.88671875" customWidth="1"/>
  </cols>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50218F-302D-441B-9B0B-FB1DF647E442}">
  <sheetPr codeName="Sheet12">
    <tabColor theme="9" tint="0.59999389629810485"/>
  </sheetPr>
  <dimension ref="A1:D182"/>
  <sheetViews>
    <sheetView workbookViewId="0">
      <selection activeCell="I176" sqref="I176"/>
    </sheetView>
  </sheetViews>
  <sheetFormatPr defaultRowHeight="14.4" x14ac:dyDescent="0.3"/>
  <cols>
    <col min="1" max="1" width="28.5546875" customWidth="1"/>
    <col min="2" max="2" width="25.6640625" customWidth="1"/>
    <col min="3" max="3" width="12.6640625" bestFit="1" customWidth="1"/>
    <col min="4" max="4" width="11.44140625" customWidth="1"/>
  </cols>
  <sheetData>
    <row r="1" spans="1:4" x14ac:dyDescent="0.3">
      <c r="A1" s="23" t="s">
        <v>0</v>
      </c>
      <c r="B1" s="23" t="s">
        <v>144</v>
      </c>
      <c r="C1" s="23" t="s">
        <v>319</v>
      </c>
      <c r="D1" s="23" t="s">
        <v>321</v>
      </c>
    </row>
    <row r="2" spans="1:4" x14ac:dyDescent="0.3">
      <c r="A2" t="s">
        <v>145</v>
      </c>
      <c r="B2" t="s">
        <v>146</v>
      </c>
      <c r="C2" s="22">
        <v>38041754</v>
      </c>
      <c r="D2" s="22">
        <v>652230</v>
      </c>
    </row>
    <row r="3" spans="1:4" x14ac:dyDescent="0.3">
      <c r="A3" t="s">
        <v>147</v>
      </c>
      <c r="B3" t="s">
        <v>148</v>
      </c>
      <c r="C3" s="22">
        <v>2854191</v>
      </c>
      <c r="D3" s="22">
        <v>28748</v>
      </c>
    </row>
    <row r="4" spans="1:4" x14ac:dyDescent="0.3">
      <c r="A4" t="s">
        <v>149</v>
      </c>
      <c r="B4" t="s">
        <v>150</v>
      </c>
      <c r="C4" s="22">
        <v>43053054</v>
      </c>
      <c r="D4" s="22">
        <v>2381741</v>
      </c>
    </row>
    <row r="5" spans="1:4" x14ac:dyDescent="0.3">
      <c r="A5" t="s">
        <v>151</v>
      </c>
      <c r="B5" t="s">
        <v>148</v>
      </c>
      <c r="C5" s="22">
        <v>77142</v>
      </c>
      <c r="D5" s="22">
        <v>468</v>
      </c>
    </row>
    <row r="6" spans="1:4" x14ac:dyDescent="0.3">
      <c r="A6" t="s">
        <v>152</v>
      </c>
      <c r="B6" t="s">
        <v>153</v>
      </c>
      <c r="C6" s="22">
        <v>31825295</v>
      </c>
      <c r="D6" s="22">
        <v>1246700</v>
      </c>
    </row>
    <row r="7" spans="1:4" x14ac:dyDescent="0.3">
      <c r="A7" t="s">
        <v>154</v>
      </c>
      <c r="B7" t="s">
        <v>155</v>
      </c>
      <c r="C7" s="22">
        <v>97118</v>
      </c>
      <c r="D7" s="22">
        <v>442.6</v>
      </c>
    </row>
    <row r="8" spans="1:4" x14ac:dyDescent="0.3">
      <c r="A8" t="s">
        <v>156</v>
      </c>
      <c r="B8" t="s">
        <v>155</v>
      </c>
      <c r="C8" s="22">
        <v>44938712</v>
      </c>
      <c r="D8" s="22">
        <v>2780400</v>
      </c>
    </row>
    <row r="9" spans="1:4" x14ac:dyDescent="0.3">
      <c r="A9" t="s">
        <v>157</v>
      </c>
      <c r="B9" t="s">
        <v>148</v>
      </c>
      <c r="C9" s="22">
        <v>2957731</v>
      </c>
      <c r="D9" s="22">
        <v>29743</v>
      </c>
    </row>
    <row r="10" spans="1:4" x14ac:dyDescent="0.3">
      <c r="A10" t="s">
        <v>158</v>
      </c>
      <c r="B10" t="s">
        <v>159</v>
      </c>
      <c r="C10" s="22">
        <v>25364307</v>
      </c>
      <c r="D10" s="22">
        <v>7741220</v>
      </c>
    </row>
    <row r="11" spans="1:4" x14ac:dyDescent="0.3">
      <c r="A11" t="s">
        <v>15</v>
      </c>
      <c r="B11" t="s">
        <v>148</v>
      </c>
      <c r="C11" s="22">
        <v>8877067</v>
      </c>
      <c r="D11" s="22">
        <v>83871</v>
      </c>
    </row>
    <row r="12" spans="1:4" x14ac:dyDescent="0.3">
      <c r="A12" t="s">
        <v>160</v>
      </c>
      <c r="B12" t="s">
        <v>148</v>
      </c>
      <c r="C12" s="22">
        <v>10023318</v>
      </c>
      <c r="D12" s="22">
        <v>86600</v>
      </c>
    </row>
    <row r="13" spans="1:4" x14ac:dyDescent="0.3">
      <c r="A13" t="s">
        <v>161</v>
      </c>
      <c r="B13" t="s">
        <v>150</v>
      </c>
      <c r="C13" s="22">
        <v>1641172</v>
      </c>
      <c r="D13" s="22">
        <v>765.3</v>
      </c>
    </row>
    <row r="14" spans="1:4" x14ac:dyDescent="0.3">
      <c r="A14" t="s">
        <v>162</v>
      </c>
      <c r="B14" t="s">
        <v>146</v>
      </c>
      <c r="C14" s="22">
        <v>163046161</v>
      </c>
      <c r="D14" s="22">
        <v>148460</v>
      </c>
    </row>
    <row r="15" spans="1:4" x14ac:dyDescent="0.3">
      <c r="A15" t="s">
        <v>163</v>
      </c>
      <c r="B15" t="s">
        <v>148</v>
      </c>
      <c r="C15" s="22">
        <v>9466856</v>
      </c>
      <c r="D15" s="22">
        <v>207600</v>
      </c>
    </row>
    <row r="16" spans="1:4" x14ac:dyDescent="0.3">
      <c r="A16" t="s">
        <v>11</v>
      </c>
      <c r="B16" t="s">
        <v>148</v>
      </c>
      <c r="C16" s="22">
        <v>11484055</v>
      </c>
      <c r="D16" s="22">
        <v>30528</v>
      </c>
    </row>
    <row r="17" spans="1:4" x14ac:dyDescent="0.3">
      <c r="A17" t="s">
        <v>164</v>
      </c>
      <c r="B17" t="s">
        <v>155</v>
      </c>
      <c r="C17" s="22">
        <v>390353</v>
      </c>
      <c r="D17" s="22">
        <v>22966</v>
      </c>
    </row>
    <row r="18" spans="1:4" x14ac:dyDescent="0.3">
      <c r="A18" t="s">
        <v>165</v>
      </c>
      <c r="B18" t="s">
        <v>153</v>
      </c>
      <c r="C18" s="22">
        <v>11801151</v>
      </c>
      <c r="D18" s="22">
        <v>112622</v>
      </c>
    </row>
    <row r="19" spans="1:4" x14ac:dyDescent="0.3">
      <c r="A19" t="s">
        <v>166</v>
      </c>
      <c r="B19" t="s">
        <v>146</v>
      </c>
      <c r="C19" s="22">
        <v>763092</v>
      </c>
      <c r="D19" s="22">
        <v>38394</v>
      </c>
    </row>
    <row r="20" spans="1:4" x14ac:dyDescent="0.3">
      <c r="A20" t="s">
        <v>167</v>
      </c>
      <c r="B20" t="s">
        <v>155</v>
      </c>
      <c r="C20" s="22">
        <v>11513100</v>
      </c>
      <c r="D20" s="22">
        <v>1098581</v>
      </c>
    </row>
    <row r="21" spans="1:4" x14ac:dyDescent="0.3">
      <c r="A21" t="s">
        <v>168</v>
      </c>
      <c r="B21" t="s">
        <v>148</v>
      </c>
      <c r="C21" s="22">
        <v>3301000</v>
      </c>
      <c r="D21" s="22">
        <v>51197</v>
      </c>
    </row>
    <row r="22" spans="1:4" x14ac:dyDescent="0.3">
      <c r="A22" t="s">
        <v>169</v>
      </c>
      <c r="B22" t="s">
        <v>153</v>
      </c>
      <c r="C22" s="22">
        <v>2303697</v>
      </c>
      <c r="D22" s="22">
        <v>581730</v>
      </c>
    </row>
    <row r="23" spans="1:4" x14ac:dyDescent="0.3">
      <c r="A23" t="s">
        <v>170</v>
      </c>
      <c r="B23" t="s">
        <v>155</v>
      </c>
      <c r="C23" s="22">
        <v>212559417</v>
      </c>
      <c r="D23" s="22">
        <v>8515770</v>
      </c>
    </row>
    <row r="24" spans="1:4" x14ac:dyDescent="0.3">
      <c r="A24" t="s">
        <v>171</v>
      </c>
      <c r="B24" t="s">
        <v>159</v>
      </c>
      <c r="C24" s="22">
        <v>433285</v>
      </c>
      <c r="D24" s="22">
        <v>5765</v>
      </c>
    </row>
    <row r="25" spans="1:4" x14ac:dyDescent="0.3">
      <c r="A25" t="s">
        <v>172</v>
      </c>
      <c r="B25" t="s">
        <v>148</v>
      </c>
      <c r="C25" s="22">
        <v>6975761</v>
      </c>
      <c r="D25" s="22">
        <v>110879</v>
      </c>
    </row>
    <row r="26" spans="1:4" x14ac:dyDescent="0.3">
      <c r="A26" t="s">
        <v>173</v>
      </c>
      <c r="B26" t="s">
        <v>153</v>
      </c>
      <c r="C26" s="22">
        <v>20321378</v>
      </c>
      <c r="D26" s="22">
        <v>274200</v>
      </c>
    </row>
    <row r="27" spans="1:4" x14ac:dyDescent="0.3">
      <c r="A27" t="s">
        <v>174</v>
      </c>
      <c r="B27" t="s">
        <v>153</v>
      </c>
      <c r="C27" s="22">
        <v>11530580</v>
      </c>
      <c r="D27" s="22">
        <v>27830</v>
      </c>
    </row>
    <row r="28" spans="1:4" x14ac:dyDescent="0.3">
      <c r="A28" t="s">
        <v>175</v>
      </c>
      <c r="B28" t="s">
        <v>153</v>
      </c>
      <c r="C28" s="22">
        <v>549935</v>
      </c>
      <c r="D28" s="22">
        <v>4033</v>
      </c>
    </row>
    <row r="29" spans="1:4" x14ac:dyDescent="0.3">
      <c r="A29" t="s">
        <v>176</v>
      </c>
      <c r="B29" t="s">
        <v>159</v>
      </c>
      <c r="C29" s="22">
        <v>16486542</v>
      </c>
      <c r="D29" s="22">
        <v>181035</v>
      </c>
    </row>
    <row r="30" spans="1:4" x14ac:dyDescent="0.3">
      <c r="A30" t="s">
        <v>177</v>
      </c>
      <c r="B30" t="s">
        <v>153</v>
      </c>
      <c r="C30" s="22">
        <v>25876380</v>
      </c>
      <c r="D30" s="22">
        <v>475440</v>
      </c>
    </row>
    <row r="31" spans="1:4" x14ac:dyDescent="0.3">
      <c r="A31" t="s">
        <v>178</v>
      </c>
      <c r="B31" t="s">
        <v>179</v>
      </c>
      <c r="C31" s="22">
        <v>37589262</v>
      </c>
      <c r="D31" s="22">
        <v>9984670</v>
      </c>
    </row>
    <row r="32" spans="1:4" x14ac:dyDescent="0.3">
      <c r="A32" t="s">
        <v>180</v>
      </c>
      <c r="B32" t="s">
        <v>153</v>
      </c>
      <c r="C32" s="22">
        <v>4745185</v>
      </c>
      <c r="D32" s="22">
        <v>622984</v>
      </c>
    </row>
    <row r="33" spans="1:4" x14ac:dyDescent="0.3">
      <c r="A33" t="s">
        <v>181</v>
      </c>
      <c r="B33" t="s">
        <v>153</v>
      </c>
      <c r="C33" s="22">
        <v>15946876</v>
      </c>
      <c r="D33" s="22">
        <v>1284000</v>
      </c>
    </row>
    <row r="34" spans="1:4" x14ac:dyDescent="0.3">
      <c r="A34" t="s">
        <v>182</v>
      </c>
      <c r="B34" t="s">
        <v>155</v>
      </c>
      <c r="C34" s="22">
        <v>18952038</v>
      </c>
      <c r="D34" s="22">
        <v>756096.3</v>
      </c>
    </row>
    <row r="35" spans="1:4" x14ac:dyDescent="0.3">
      <c r="A35" t="s">
        <v>183</v>
      </c>
      <c r="B35" t="s">
        <v>159</v>
      </c>
      <c r="C35" s="22">
        <v>1397715000</v>
      </c>
      <c r="D35" s="22">
        <v>9596960</v>
      </c>
    </row>
    <row r="36" spans="1:4" x14ac:dyDescent="0.3">
      <c r="A36" t="s">
        <v>184</v>
      </c>
      <c r="B36" t="s">
        <v>155</v>
      </c>
      <c r="C36" s="22">
        <v>50339443</v>
      </c>
      <c r="D36" s="22">
        <v>1138910</v>
      </c>
    </row>
    <row r="37" spans="1:4" x14ac:dyDescent="0.3">
      <c r="A37" t="s">
        <v>185</v>
      </c>
      <c r="B37" t="s">
        <v>153</v>
      </c>
      <c r="C37" s="22">
        <v>850886</v>
      </c>
      <c r="D37" s="22">
        <v>2235</v>
      </c>
    </row>
    <row r="38" spans="1:4" x14ac:dyDescent="0.3">
      <c r="A38" t="s">
        <v>186</v>
      </c>
      <c r="B38" t="s">
        <v>153</v>
      </c>
      <c r="C38" s="22">
        <v>86790567</v>
      </c>
      <c r="D38" s="22">
        <v>2344858</v>
      </c>
    </row>
    <row r="39" spans="1:4" x14ac:dyDescent="0.3">
      <c r="A39" t="s">
        <v>187</v>
      </c>
      <c r="B39" t="s">
        <v>153</v>
      </c>
      <c r="C39" s="22">
        <v>5380508</v>
      </c>
      <c r="D39" s="22">
        <v>342000</v>
      </c>
    </row>
    <row r="40" spans="1:4" x14ac:dyDescent="0.3">
      <c r="A40" t="s">
        <v>188</v>
      </c>
      <c r="B40" t="s">
        <v>155</v>
      </c>
      <c r="C40" s="22">
        <v>5047561</v>
      </c>
      <c r="D40" s="22">
        <v>51100</v>
      </c>
    </row>
    <row r="41" spans="1:4" x14ac:dyDescent="0.3">
      <c r="A41" t="s">
        <v>189</v>
      </c>
      <c r="B41" t="s">
        <v>153</v>
      </c>
      <c r="C41" s="22">
        <v>25716544</v>
      </c>
      <c r="D41" s="22">
        <v>322463</v>
      </c>
    </row>
    <row r="42" spans="1:4" x14ac:dyDescent="0.3">
      <c r="A42" t="s">
        <v>190</v>
      </c>
      <c r="B42" t="s">
        <v>148</v>
      </c>
      <c r="C42" s="22">
        <v>4067500</v>
      </c>
      <c r="D42" s="22">
        <v>56594</v>
      </c>
    </row>
    <row r="43" spans="1:4" x14ac:dyDescent="0.3">
      <c r="A43" t="s">
        <v>191</v>
      </c>
      <c r="B43" t="s">
        <v>148</v>
      </c>
      <c r="C43" s="22">
        <v>1198575</v>
      </c>
      <c r="D43" s="22">
        <v>9251</v>
      </c>
    </row>
    <row r="44" spans="1:4" x14ac:dyDescent="0.3">
      <c r="A44" t="s">
        <v>192</v>
      </c>
      <c r="B44" t="s">
        <v>148</v>
      </c>
      <c r="C44" s="22">
        <v>10669709</v>
      </c>
      <c r="D44" s="22">
        <v>78867</v>
      </c>
    </row>
    <row r="45" spans="1:4" x14ac:dyDescent="0.3">
      <c r="A45" t="s">
        <v>12</v>
      </c>
      <c r="B45" t="s">
        <v>148</v>
      </c>
      <c r="C45" s="22">
        <v>5818553</v>
      </c>
      <c r="D45" s="22">
        <v>43094</v>
      </c>
    </row>
    <row r="46" spans="1:4" x14ac:dyDescent="0.3">
      <c r="A46" t="s">
        <v>193</v>
      </c>
      <c r="B46" t="s">
        <v>150</v>
      </c>
      <c r="C46" s="22">
        <v>973560</v>
      </c>
      <c r="D46" s="22">
        <v>23200</v>
      </c>
    </row>
    <row r="47" spans="1:4" x14ac:dyDescent="0.3">
      <c r="A47" t="s">
        <v>194</v>
      </c>
      <c r="B47" t="s">
        <v>155</v>
      </c>
      <c r="C47" s="22">
        <v>71808</v>
      </c>
      <c r="D47" s="22">
        <v>751</v>
      </c>
    </row>
    <row r="48" spans="1:4" x14ac:dyDescent="0.3">
      <c r="A48" t="s">
        <v>195</v>
      </c>
      <c r="B48" t="s">
        <v>155</v>
      </c>
      <c r="C48" s="22">
        <v>10738958</v>
      </c>
      <c r="D48" s="22">
        <v>48670</v>
      </c>
    </row>
    <row r="49" spans="1:4" x14ac:dyDescent="0.3">
      <c r="A49" t="s">
        <v>196</v>
      </c>
      <c r="B49" t="s">
        <v>155</v>
      </c>
      <c r="C49" s="22">
        <v>17373662</v>
      </c>
      <c r="D49" s="22">
        <v>283561</v>
      </c>
    </row>
    <row r="50" spans="1:4" x14ac:dyDescent="0.3">
      <c r="A50" t="s">
        <v>197</v>
      </c>
      <c r="B50" t="s">
        <v>150</v>
      </c>
      <c r="C50" s="22">
        <v>100388073</v>
      </c>
      <c r="D50" s="22">
        <v>1001450</v>
      </c>
    </row>
    <row r="51" spans="1:4" x14ac:dyDescent="0.3">
      <c r="A51" t="s">
        <v>198</v>
      </c>
      <c r="B51" t="s">
        <v>155</v>
      </c>
      <c r="C51" s="22">
        <v>6453553</v>
      </c>
      <c r="D51" s="22">
        <v>21041</v>
      </c>
    </row>
    <row r="52" spans="1:4" x14ac:dyDescent="0.3">
      <c r="A52" t="s">
        <v>199</v>
      </c>
      <c r="B52" t="s">
        <v>153</v>
      </c>
      <c r="C52" s="22">
        <v>1355986</v>
      </c>
      <c r="D52" s="22">
        <v>28051</v>
      </c>
    </row>
    <row r="53" spans="1:4" x14ac:dyDescent="0.3">
      <c r="A53" t="s">
        <v>200</v>
      </c>
      <c r="B53" t="s">
        <v>148</v>
      </c>
      <c r="C53" s="22">
        <v>1326590</v>
      </c>
      <c r="D53" s="22">
        <v>45228</v>
      </c>
    </row>
    <row r="54" spans="1:4" x14ac:dyDescent="0.3">
      <c r="A54" t="s">
        <v>201</v>
      </c>
      <c r="B54" t="s">
        <v>153</v>
      </c>
      <c r="C54" s="22">
        <v>1093238</v>
      </c>
      <c r="D54" s="22">
        <v>17364</v>
      </c>
    </row>
    <row r="55" spans="1:4" x14ac:dyDescent="0.3">
      <c r="A55" t="s">
        <v>202</v>
      </c>
      <c r="B55" t="s">
        <v>153</v>
      </c>
      <c r="C55" s="22">
        <v>112078730</v>
      </c>
      <c r="D55" s="22">
        <v>1104300</v>
      </c>
    </row>
    <row r="56" spans="1:4" x14ac:dyDescent="0.3">
      <c r="A56" t="s">
        <v>203</v>
      </c>
      <c r="B56" t="s">
        <v>159</v>
      </c>
      <c r="C56" s="22">
        <v>889953</v>
      </c>
      <c r="D56" s="22">
        <v>18274</v>
      </c>
    </row>
    <row r="57" spans="1:4" x14ac:dyDescent="0.3">
      <c r="A57" t="s">
        <v>14</v>
      </c>
      <c r="B57" t="s">
        <v>148</v>
      </c>
      <c r="C57" s="22">
        <v>5520314</v>
      </c>
      <c r="D57" s="22">
        <v>338145</v>
      </c>
    </row>
    <row r="58" spans="1:4" x14ac:dyDescent="0.3">
      <c r="A58" t="s">
        <v>3</v>
      </c>
      <c r="B58" t="s">
        <v>148</v>
      </c>
      <c r="C58" s="22">
        <v>67059887</v>
      </c>
      <c r="D58" s="22">
        <v>643801</v>
      </c>
    </row>
    <row r="59" spans="1:4" x14ac:dyDescent="0.3">
      <c r="A59" t="s">
        <v>204</v>
      </c>
      <c r="B59" t="s">
        <v>153</v>
      </c>
      <c r="C59" s="22">
        <v>2172579</v>
      </c>
      <c r="D59" s="22">
        <v>267667</v>
      </c>
    </row>
    <row r="60" spans="1:4" x14ac:dyDescent="0.3">
      <c r="A60" t="s">
        <v>205</v>
      </c>
      <c r="B60" t="s">
        <v>153</v>
      </c>
      <c r="C60" s="22">
        <v>2347706</v>
      </c>
      <c r="D60" s="22">
        <v>11300</v>
      </c>
    </row>
    <row r="61" spans="1:4" x14ac:dyDescent="0.3">
      <c r="A61" t="s">
        <v>206</v>
      </c>
      <c r="B61" t="s">
        <v>148</v>
      </c>
      <c r="C61" s="22">
        <v>3720382</v>
      </c>
      <c r="D61" s="22">
        <v>69700</v>
      </c>
    </row>
    <row r="62" spans="1:4" x14ac:dyDescent="0.3">
      <c r="A62" t="s">
        <v>5</v>
      </c>
      <c r="B62" t="s">
        <v>148</v>
      </c>
      <c r="C62" s="22">
        <v>83132799</v>
      </c>
      <c r="D62" s="22">
        <v>357022</v>
      </c>
    </row>
    <row r="63" spans="1:4" x14ac:dyDescent="0.3">
      <c r="A63" t="s">
        <v>207</v>
      </c>
      <c r="B63" t="s">
        <v>153</v>
      </c>
      <c r="C63" s="22">
        <v>30417856</v>
      </c>
      <c r="D63" s="22">
        <v>238533</v>
      </c>
    </row>
    <row r="64" spans="1:4" x14ac:dyDescent="0.3">
      <c r="A64" t="s">
        <v>208</v>
      </c>
      <c r="B64" t="s">
        <v>148</v>
      </c>
      <c r="C64" s="22">
        <v>10716322</v>
      </c>
      <c r="D64" s="22">
        <v>131957</v>
      </c>
    </row>
    <row r="65" spans="1:4" x14ac:dyDescent="0.3">
      <c r="A65" t="s">
        <v>209</v>
      </c>
      <c r="B65" t="s">
        <v>155</v>
      </c>
      <c r="C65" s="22">
        <v>112003</v>
      </c>
      <c r="D65" s="22">
        <v>348.5</v>
      </c>
    </row>
    <row r="66" spans="1:4" x14ac:dyDescent="0.3">
      <c r="A66" t="s">
        <v>210</v>
      </c>
      <c r="B66" t="s">
        <v>155</v>
      </c>
      <c r="C66" s="22">
        <v>16604026</v>
      </c>
      <c r="D66" s="22">
        <v>108889</v>
      </c>
    </row>
    <row r="67" spans="1:4" x14ac:dyDescent="0.3">
      <c r="A67" t="s">
        <v>211</v>
      </c>
      <c r="B67" t="s">
        <v>153</v>
      </c>
      <c r="C67" s="22">
        <v>12771246</v>
      </c>
      <c r="D67" s="22">
        <v>245857</v>
      </c>
    </row>
    <row r="68" spans="1:4" x14ac:dyDescent="0.3">
      <c r="A68" t="s">
        <v>212</v>
      </c>
      <c r="B68" t="s">
        <v>153</v>
      </c>
      <c r="C68" s="22">
        <v>1920922</v>
      </c>
      <c r="D68" s="22">
        <v>36125</v>
      </c>
    </row>
    <row r="69" spans="1:4" x14ac:dyDescent="0.3">
      <c r="A69" t="s">
        <v>213</v>
      </c>
      <c r="B69" t="s">
        <v>155</v>
      </c>
      <c r="C69" s="22">
        <v>782766</v>
      </c>
      <c r="D69" s="22">
        <v>214969</v>
      </c>
    </row>
    <row r="70" spans="1:4" x14ac:dyDescent="0.3">
      <c r="A70" t="s">
        <v>214</v>
      </c>
      <c r="B70" t="s">
        <v>155</v>
      </c>
      <c r="C70" s="22">
        <v>11263077</v>
      </c>
      <c r="D70" s="22">
        <v>27750</v>
      </c>
    </row>
    <row r="71" spans="1:4" x14ac:dyDescent="0.3">
      <c r="A71" t="s">
        <v>215</v>
      </c>
      <c r="B71" t="s">
        <v>155</v>
      </c>
      <c r="C71" s="22">
        <v>9746117</v>
      </c>
      <c r="D71" s="22">
        <v>112090</v>
      </c>
    </row>
    <row r="72" spans="1:4" x14ac:dyDescent="0.3">
      <c r="A72" t="s">
        <v>216</v>
      </c>
      <c r="B72" t="s">
        <v>159</v>
      </c>
      <c r="C72" s="22">
        <v>7507400</v>
      </c>
      <c r="D72" s="22">
        <v>1108</v>
      </c>
    </row>
    <row r="73" spans="1:4" x14ac:dyDescent="0.3">
      <c r="A73" t="s">
        <v>217</v>
      </c>
      <c r="B73" t="s">
        <v>148</v>
      </c>
      <c r="C73" s="22">
        <v>9769949</v>
      </c>
      <c r="D73" s="22">
        <v>93028</v>
      </c>
    </row>
    <row r="74" spans="1:4" x14ac:dyDescent="0.3">
      <c r="A74" t="s">
        <v>218</v>
      </c>
      <c r="B74" t="s">
        <v>148</v>
      </c>
      <c r="C74" s="22">
        <v>361313</v>
      </c>
      <c r="D74" s="22">
        <v>103000</v>
      </c>
    </row>
    <row r="75" spans="1:4" x14ac:dyDescent="0.3">
      <c r="A75" t="s">
        <v>219</v>
      </c>
      <c r="B75" t="s">
        <v>146</v>
      </c>
      <c r="C75" s="22">
        <v>1366417754</v>
      </c>
      <c r="D75" s="22">
        <v>3287263</v>
      </c>
    </row>
    <row r="76" spans="1:4" x14ac:dyDescent="0.3">
      <c r="A76" t="s">
        <v>220</v>
      </c>
      <c r="B76" t="s">
        <v>159</v>
      </c>
      <c r="C76" s="22">
        <v>270625568</v>
      </c>
      <c r="D76" s="22">
        <v>1904569</v>
      </c>
    </row>
    <row r="77" spans="1:4" x14ac:dyDescent="0.3">
      <c r="A77" t="s">
        <v>221</v>
      </c>
      <c r="B77" t="s">
        <v>150</v>
      </c>
      <c r="C77" s="22">
        <v>39309783</v>
      </c>
      <c r="D77" s="22">
        <v>438317</v>
      </c>
    </row>
    <row r="78" spans="1:4" x14ac:dyDescent="0.3">
      <c r="A78" t="s">
        <v>222</v>
      </c>
      <c r="B78" t="s">
        <v>148</v>
      </c>
      <c r="C78" s="22">
        <v>4941444</v>
      </c>
      <c r="D78" s="22">
        <v>70273</v>
      </c>
    </row>
    <row r="79" spans="1:4" x14ac:dyDescent="0.3">
      <c r="A79" t="s">
        <v>223</v>
      </c>
      <c r="B79" t="s">
        <v>150</v>
      </c>
      <c r="C79" s="22">
        <v>9053300</v>
      </c>
      <c r="D79" s="22">
        <v>20770</v>
      </c>
    </row>
    <row r="80" spans="1:4" x14ac:dyDescent="0.3">
      <c r="A80" t="s">
        <v>10</v>
      </c>
      <c r="B80" t="s">
        <v>148</v>
      </c>
      <c r="C80" s="22">
        <v>60297396</v>
      </c>
      <c r="D80" s="22">
        <v>301340</v>
      </c>
    </row>
    <row r="81" spans="1:4" x14ac:dyDescent="0.3">
      <c r="A81" t="s">
        <v>224</v>
      </c>
      <c r="B81" t="s">
        <v>155</v>
      </c>
      <c r="C81" s="22">
        <v>2948279</v>
      </c>
      <c r="D81" s="22">
        <v>10991</v>
      </c>
    </row>
    <row r="82" spans="1:4" x14ac:dyDescent="0.3">
      <c r="A82" t="s">
        <v>225</v>
      </c>
      <c r="B82" t="s">
        <v>159</v>
      </c>
      <c r="C82" s="22">
        <v>126264931</v>
      </c>
      <c r="D82" s="22">
        <v>377944</v>
      </c>
    </row>
    <row r="83" spans="1:4" x14ac:dyDescent="0.3">
      <c r="A83" t="s">
        <v>226</v>
      </c>
      <c r="B83" t="s">
        <v>150</v>
      </c>
      <c r="C83" s="22">
        <v>10101694</v>
      </c>
      <c r="D83" s="22">
        <v>89342</v>
      </c>
    </row>
    <row r="84" spans="1:4" x14ac:dyDescent="0.3">
      <c r="A84" t="s">
        <v>227</v>
      </c>
      <c r="B84" t="s">
        <v>148</v>
      </c>
      <c r="C84" s="22">
        <v>18513930</v>
      </c>
      <c r="D84" s="22">
        <v>2724900</v>
      </c>
    </row>
    <row r="85" spans="1:4" x14ac:dyDescent="0.3">
      <c r="A85" t="s">
        <v>228</v>
      </c>
      <c r="B85" t="s">
        <v>153</v>
      </c>
      <c r="C85" s="22">
        <v>52573973</v>
      </c>
      <c r="D85" s="22">
        <v>580367</v>
      </c>
    </row>
    <row r="86" spans="1:4" x14ac:dyDescent="0.3">
      <c r="A86" t="s">
        <v>229</v>
      </c>
      <c r="B86" t="s">
        <v>159</v>
      </c>
      <c r="C86" s="22">
        <v>117606</v>
      </c>
      <c r="D86" s="22">
        <v>811</v>
      </c>
    </row>
    <row r="87" spans="1:4" x14ac:dyDescent="0.3">
      <c r="A87" t="s">
        <v>230</v>
      </c>
      <c r="B87" t="s">
        <v>159</v>
      </c>
      <c r="C87" s="22">
        <v>51709098</v>
      </c>
      <c r="D87" s="22">
        <v>99720</v>
      </c>
    </row>
    <row r="88" spans="1:4" x14ac:dyDescent="0.3">
      <c r="A88" t="s">
        <v>231</v>
      </c>
      <c r="B88" t="s">
        <v>150</v>
      </c>
      <c r="C88" s="22">
        <v>4207083</v>
      </c>
      <c r="D88" s="22">
        <v>17818</v>
      </c>
    </row>
    <row r="89" spans="1:4" x14ac:dyDescent="0.3">
      <c r="A89" t="s">
        <v>232</v>
      </c>
      <c r="B89" t="s">
        <v>148</v>
      </c>
      <c r="C89" s="22">
        <v>6456900</v>
      </c>
      <c r="D89" s="22">
        <v>199951</v>
      </c>
    </row>
    <row r="90" spans="1:4" x14ac:dyDescent="0.3">
      <c r="A90" t="s">
        <v>233</v>
      </c>
      <c r="B90" t="s">
        <v>148</v>
      </c>
      <c r="C90" s="22">
        <v>1912789</v>
      </c>
      <c r="D90" s="22">
        <v>64589</v>
      </c>
    </row>
    <row r="91" spans="1:4" x14ac:dyDescent="0.3">
      <c r="A91" t="s">
        <v>234</v>
      </c>
      <c r="B91" t="s">
        <v>150</v>
      </c>
      <c r="C91" s="22">
        <v>6855713</v>
      </c>
      <c r="D91" s="22">
        <v>10400</v>
      </c>
    </row>
    <row r="92" spans="1:4" x14ac:dyDescent="0.3">
      <c r="A92" t="s">
        <v>235</v>
      </c>
      <c r="B92" t="s">
        <v>153</v>
      </c>
      <c r="C92" s="22">
        <v>2125268</v>
      </c>
      <c r="D92" s="22">
        <v>30355</v>
      </c>
    </row>
    <row r="93" spans="1:4" x14ac:dyDescent="0.3">
      <c r="A93" t="s">
        <v>236</v>
      </c>
      <c r="B93" t="s">
        <v>153</v>
      </c>
      <c r="C93" s="22">
        <v>4937374</v>
      </c>
      <c r="D93" s="22">
        <v>111369</v>
      </c>
    </row>
    <row r="94" spans="1:4" x14ac:dyDescent="0.3">
      <c r="A94" t="s">
        <v>237</v>
      </c>
      <c r="B94" t="s">
        <v>150</v>
      </c>
      <c r="C94" s="22">
        <v>6777452</v>
      </c>
      <c r="D94" s="22">
        <v>1759540</v>
      </c>
    </row>
    <row r="95" spans="1:4" x14ac:dyDescent="0.3">
      <c r="A95" t="s">
        <v>238</v>
      </c>
      <c r="B95" t="s">
        <v>148</v>
      </c>
      <c r="C95" s="22">
        <v>2786844</v>
      </c>
      <c r="D95" s="22">
        <v>65300</v>
      </c>
    </row>
    <row r="96" spans="1:4" x14ac:dyDescent="0.3">
      <c r="A96" t="s">
        <v>239</v>
      </c>
      <c r="B96" t="s">
        <v>148</v>
      </c>
      <c r="C96" s="22">
        <v>619896</v>
      </c>
      <c r="D96" s="22">
        <v>2586</v>
      </c>
    </row>
    <row r="97" spans="1:4" x14ac:dyDescent="0.3">
      <c r="A97" t="s">
        <v>240</v>
      </c>
      <c r="B97" t="s">
        <v>159</v>
      </c>
      <c r="C97" s="22">
        <v>696100</v>
      </c>
      <c r="D97" s="22">
        <v>28.2</v>
      </c>
    </row>
    <row r="98" spans="1:4" x14ac:dyDescent="0.3">
      <c r="A98" t="s">
        <v>241</v>
      </c>
      <c r="B98" t="s">
        <v>153</v>
      </c>
      <c r="C98" s="22">
        <v>26969307</v>
      </c>
      <c r="D98" s="22">
        <v>587041</v>
      </c>
    </row>
    <row r="99" spans="1:4" x14ac:dyDescent="0.3">
      <c r="A99" t="s">
        <v>242</v>
      </c>
      <c r="B99" t="s">
        <v>153</v>
      </c>
      <c r="C99" s="22">
        <v>18628747</v>
      </c>
      <c r="D99" s="22">
        <v>118484</v>
      </c>
    </row>
    <row r="100" spans="1:4" x14ac:dyDescent="0.3">
      <c r="A100" t="s">
        <v>243</v>
      </c>
      <c r="B100" t="s">
        <v>159</v>
      </c>
      <c r="C100" s="22">
        <v>31949777</v>
      </c>
      <c r="D100" s="22">
        <v>329847</v>
      </c>
    </row>
    <row r="101" spans="1:4" x14ac:dyDescent="0.3">
      <c r="A101" t="s">
        <v>244</v>
      </c>
      <c r="B101" t="s">
        <v>146</v>
      </c>
      <c r="C101" s="22">
        <v>530953</v>
      </c>
      <c r="D101" s="22">
        <v>298</v>
      </c>
    </row>
    <row r="102" spans="1:4" x14ac:dyDescent="0.3">
      <c r="A102" t="s">
        <v>245</v>
      </c>
      <c r="B102" t="s">
        <v>153</v>
      </c>
      <c r="C102" s="22">
        <v>19658031</v>
      </c>
      <c r="D102" s="22">
        <v>1240192</v>
      </c>
    </row>
    <row r="103" spans="1:4" x14ac:dyDescent="0.3">
      <c r="A103" t="s">
        <v>246</v>
      </c>
      <c r="B103" t="s">
        <v>150</v>
      </c>
      <c r="C103" s="22">
        <v>502653</v>
      </c>
      <c r="D103" s="22">
        <v>316</v>
      </c>
    </row>
    <row r="104" spans="1:4" x14ac:dyDescent="0.3">
      <c r="A104" t="s">
        <v>247</v>
      </c>
      <c r="B104" t="s">
        <v>159</v>
      </c>
      <c r="C104" s="22">
        <v>58791</v>
      </c>
      <c r="D104" s="22">
        <v>181</v>
      </c>
    </row>
    <row r="105" spans="1:4" x14ac:dyDescent="0.3">
      <c r="A105" t="s">
        <v>248</v>
      </c>
      <c r="B105" t="s">
        <v>153</v>
      </c>
      <c r="C105" s="22">
        <v>4525696</v>
      </c>
      <c r="D105" s="22">
        <v>1030700</v>
      </c>
    </row>
    <row r="106" spans="1:4" x14ac:dyDescent="0.3">
      <c r="A106" t="s">
        <v>249</v>
      </c>
      <c r="B106" t="s">
        <v>153</v>
      </c>
      <c r="C106" s="22">
        <v>1265711</v>
      </c>
      <c r="D106" s="22">
        <v>2040</v>
      </c>
    </row>
    <row r="107" spans="1:4" x14ac:dyDescent="0.3">
      <c r="A107" t="s">
        <v>250</v>
      </c>
      <c r="B107" t="s">
        <v>155</v>
      </c>
      <c r="C107" s="22">
        <v>127575529</v>
      </c>
      <c r="D107" s="22">
        <v>1964375</v>
      </c>
    </row>
    <row r="108" spans="1:4" x14ac:dyDescent="0.3">
      <c r="A108" t="s">
        <v>251</v>
      </c>
      <c r="B108" t="s">
        <v>148</v>
      </c>
      <c r="C108" s="22">
        <v>2657637</v>
      </c>
      <c r="D108" s="22">
        <v>33851</v>
      </c>
    </row>
    <row r="109" spans="1:4" x14ac:dyDescent="0.3">
      <c r="A109" t="s">
        <v>252</v>
      </c>
      <c r="B109" t="s">
        <v>159</v>
      </c>
      <c r="C109" s="22">
        <v>3225167</v>
      </c>
      <c r="D109" s="22">
        <v>1564116</v>
      </c>
    </row>
    <row r="110" spans="1:4" x14ac:dyDescent="0.3">
      <c r="A110" t="s">
        <v>253</v>
      </c>
      <c r="B110" t="s">
        <v>148</v>
      </c>
      <c r="C110" s="22">
        <v>622137</v>
      </c>
      <c r="D110" s="22">
        <v>13812</v>
      </c>
    </row>
    <row r="111" spans="1:4" x14ac:dyDescent="0.3">
      <c r="A111" t="s">
        <v>254</v>
      </c>
      <c r="B111" t="s">
        <v>150</v>
      </c>
      <c r="C111" s="22">
        <v>36471769</v>
      </c>
      <c r="D111" s="22">
        <v>446550</v>
      </c>
    </row>
    <row r="112" spans="1:4" x14ac:dyDescent="0.3">
      <c r="A112" t="s">
        <v>255</v>
      </c>
      <c r="B112" t="s">
        <v>153</v>
      </c>
      <c r="C112" s="22">
        <v>30366036</v>
      </c>
      <c r="D112" s="22">
        <v>799380</v>
      </c>
    </row>
    <row r="113" spans="1:4" x14ac:dyDescent="0.3">
      <c r="A113" t="s">
        <v>256</v>
      </c>
      <c r="B113" t="s">
        <v>159</v>
      </c>
      <c r="C113" s="22">
        <v>54045420</v>
      </c>
      <c r="D113" s="22">
        <v>676578</v>
      </c>
    </row>
    <row r="114" spans="1:4" x14ac:dyDescent="0.3">
      <c r="A114" t="s">
        <v>257</v>
      </c>
      <c r="B114" t="s">
        <v>153</v>
      </c>
      <c r="C114" s="22">
        <v>2494530</v>
      </c>
      <c r="D114" s="22">
        <v>824292</v>
      </c>
    </row>
    <row r="115" spans="1:4" x14ac:dyDescent="0.3">
      <c r="A115" t="s">
        <v>258</v>
      </c>
      <c r="B115" t="s">
        <v>146</v>
      </c>
      <c r="C115" s="22">
        <v>28608710</v>
      </c>
      <c r="D115" s="22">
        <v>147181</v>
      </c>
    </row>
    <row r="116" spans="1:4" x14ac:dyDescent="0.3">
      <c r="A116" t="s">
        <v>4</v>
      </c>
      <c r="B116" t="s">
        <v>148</v>
      </c>
      <c r="C116" s="22">
        <v>17332850</v>
      </c>
      <c r="D116" s="22">
        <v>41543</v>
      </c>
    </row>
    <row r="117" spans="1:4" x14ac:dyDescent="0.3">
      <c r="A117" t="s">
        <v>259</v>
      </c>
      <c r="B117" t="s">
        <v>159</v>
      </c>
      <c r="C117" s="22">
        <v>4699755</v>
      </c>
      <c r="D117" s="22">
        <v>268838</v>
      </c>
    </row>
    <row r="118" spans="1:4" x14ac:dyDescent="0.3">
      <c r="A118" t="s">
        <v>260</v>
      </c>
      <c r="B118" t="s">
        <v>155</v>
      </c>
      <c r="C118" s="22">
        <v>6545502</v>
      </c>
      <c r="D118" s="22">
        <v>130370</v>
      </c>
    </row>
    <row r="119" spans="1:4" x14ac:dyDescent="0.3">
      <c r="A119" t="s">
        <v>261</v>
      </c>
      <c r="B119" t="s">
        <v>153</v>
      </c>
      <c r="C119" s="22">
        <v>23310715</v>
      </c>
      <c r="D119" s="22">
        <v>1267000</v>
      </c>
    </row>
    <row r="120" spans="1:4" x14ac:dyDescent="0.3">
      <c r="A120" t="s">
        <v>262</v>
      </c>
      <c r="B120" t="s">
        <v>153</v>
      </c>
      <c r="C120" s="22">
        <v>200963599</v>
      </c>
      <c r="D120" s="22">
        <v>923768</v>
      </c>
    </row>
    <row r="121" spans="1:4" x14ac:dyDescent="0.3">
      <c r="A121" t="s">
        <v>263</v>
      </c>
      <c r="B121" t="s">
        <v>148</v>
      </c>
      <c r="C121" s="22">
        <v>2107158</v>
      </c>
      <c r="D121" s="22">
        <v>25713</v>
      </c>
    </row>
    <row r="122" spans="1:4" x14ac:dyDescent="0.3">
      <c r="A122" t="s">
        <v>6</v>
      </c>
      <c r="B122" t="s">
        <v>148</v>
      </c>
      <c r="C122" s="22">
        <v>5347896</v>
      </c>
      <c r="D122" s="22">
        <v>323802</v>
      </c>
    </row>
    <row r="123" spans="1:4" x14ac:dyDescent="0.3">
      <c r="A123" t="s">
        <v>264</v>
      </c>
      <c r="B123" t="s">
        <v>150</v>
      </c>
      <c r="C123" s="22">
        <v>4974986</v>
      </c>
      <c r="D123" s="22">
        <v>309500</v>
      </c>
    </row>
    <row r="124" spans="1:4" x14ac:dyDescent="0.3">
      <c r="A124" t="s">
        <v>265</v>
      </c>
      <c r="B124" t="s">
        <v>146</v>
      </c>
      <c r="C124" s="22">
        <v>216565318</v>
      </c>
      <c r="D124" s="22">
        <v>796095</v>
      </c>
    </row>
    <row r="125" spans="1:4" x14ac:dyDescent="0.3">
      <c r="A125" t="s">
        <v>266</v>
      </c>
      <c r="B125" t="s">
        <v>159</v>
      </c>
      <c r="C125" s="22">
        <v>18008</v>
      </c>
      <c r="D125" s="22">
        <v>459</v>
      </c>
    </row>
    <row r="126" spans="1:4" x14ac:dyDescent="0.3">
      <c r="A126" t="s">
        <v>267</v>
      </c>
      <c r="B126" t="s">
        <v>155</v>
      </c>
      <c r="C126" s="22">
        <v>4246439</v>
      </c>
      <c r="D126" s="22">
        <v>75420</v>
      </c>
    </row>
    <row r="127" spans="1:4" x14ac:dyDescent="0.3">
      <c r="A127" t="s">
        <v>268</v>
      </c>
      <c r="B127" t="s">
        <v>159</v>
      </c>
      <c r="C127" s="22">
        <v>8776109</v>
      </c>
      <c r="D127" s="22">
        <v>462840</v>
      </c>
    </row>
    <row r="128" spans="1:4" x14ac:dyDescent="0.3">
      <c r="A128" t="s">
        <v>269</v>
      </c>
      <c r="B128" t="s">
        <v>155</v>
      </c>
      <c r="C128" s="22">
        <v>7044636</v>
      </c>
      <c r="D128" s="22">
        <v>406752</v>
      </c>
    </row>
    <row r="129" spans="1:4" x14ac:dyDescent="0.3">
      <c r="A129" t="s">
        <v>270</v>
      </c>
      <c r="B129" t="s">
        <v>155</v>
      </c>
      <c r="C129" s="22">
        <v>32510453</v>
      </c>
      <c r="D129" s="22">
        <v>1285216</v>
      </c>
    </row>
    <row r="130" spans="1:4" x14ac:dyDescent="0.3">
      <c r="A130" t="s">
        <v>271</v>
      </c>
      <c r="B130" t="s">
        <v>159</v>
      </c>
      <c r="C130" s="22">
        <v>108116615</v>
      </c>
      <c r="D130" s="22">
        <v>300000</v>
      </c>
    </row>
    <row r="131" spans="1:4" x14ac:dyDescent="0.3">
      <c r="A131" t="s">
        <v>272</v>
      </c>
      <c r="B131" t="s">
        <v>148</v>
      </c>
      <c r="C131" s="22">
        <v>37970874</v>
      </c>
      <c r="D131" s="22">
        <v>312685</v>
      </c>
    </row>
    <row r="132" spans="1:4" x14ac:dyDescent="0.3">
      <c r="A132" t="s">
        <v>9</v>
      </c>
      <c r="B132" t="s">
        <v>148</v>
      </c>
      <c r="C132" s="22">
        <v>10269417</v>
      </c>
      <c r="D132" s="22">
        <v>92212</v>
      </c>
    </row>
    <row r="133" spans="1:4" x14ac:dyDescent="0.3">
      <c r="A133" t="s">
        <v>273</v>
      </c>
      <c r="B133" t="s">
        <v>155</v>
      </c>
      <c r="C133" s="22">
        <v>3193694</v>
      </c>
      <c r="D133" s="22">
        <v>13791</v>
      </c>
    </row>
    <row r="134" spans="1:4" x14ac:dyDescent="0.3">
      <c r="A134" t="s">
        <v>274</v>
      </c>
      <c r="B134" t="s">
        <v>150</v>
      </c>
      <c r="C134" s="22">
        <v>2832067</v>
      </c>
      <c r="D134" s="22">
        <v>11586</v>
      </c>
    </row>
    <row r="135" spans="1:4" x14ac:dyDescent="0.3">
      <c r="A135" t="s">
        <v>275</v>
      </c>
      <c r="B135" t="s">
        <v>148</v>
      </c>
      <c r="C135" s="22">
        <v>19356544</v>
      </c>
      <c r="D135" s="22">
        <v>238391</v>
      </c>
    </row>
    <row r="136" spans="1:4" x14ac:dyDescent="0.3">
      <c r="A136" t="s">
        <v>276</v>
      </c>
      <c r="B136" t="s">
        <v>148</v>
      </c>
      <c r="C136" s="22">
        <v>144373535</v>
      </c>
      <c r="D136" s="22">
        <v>17098240</v>
      </c>
    </row>
    <row r="137" spans="1:4" x14ac:dyDescent="0.3">
      <c r="A137" t="s">
        <v>277</v>
      </c>
      <c r="B137" t="s">
        <v>153</v>
      </c>
      <c r="C137" s="22">
        <v>12626950</v>
      </c>
      <c r="D137" s="22">
        <v>26338</v>
      </c>
    </row>
    <row r="138" spans="1:4" x14ac:dyDescent="0.3">
      <c r="A138" t="s">
        <v>278</v>
      </c>
      <c r="B138" t="s">
        <v>159</v>
      </c>
      <c r="C138" s="22">
        <v>202506</v>
      </c>
      <c r="D138" s="22">
        <v>2831</v>
      </c>
    </row>
    <row r="139" spans="1:4" x14ac:dyDescent="0.3">
      <c r="A139" t="s">
        <v>279</v>
      </c>
      <c r="B139" t="s">
        <v>153</v>
      </c>
      <c r="C139" s="22">
        <v>215056</v>
      </c>
      <c r="D139" s="22">
        <v>964</v>
      </c>
    </row>
    <row r="140" spans="1:4" x14ac:dyDescent="0.3">
      <c r="A140" t="s">
        <v>280</v>
      </c>
      <c r="B140" t="s">
        <v>150</v>
      </c>
      <c r="C140" s="22">
        <v>34268528</v>
      </c>
      <c r="D140" s="22">
        <v>2149690</v>
      </c>
    </row>
    <row r="141" spans="1:4" x14ac:dyDescent="0.3">
      <c r="A141" t="s">
        <v>281</v>
      </c>
      <c r="B141" t="s">
        <v>153</v>
      </c>
      <c r="C141" s="22">
        <v>16296364</v>
      </c>
      <c r="D141" s="22">
        <v>196722</v>
      </c>
    </row>
    <row r="142" spans="1:4" x14ac:dyDescent="0.3">
      <c r="A142" t="s">
        <v>282</v>
      </c>
      <c r="B142" t="s">
        <v>148</v>
      </c>
      <c r="C142" s="22">
        <v>6944975</v>
      </c>
      <c r="D142" s="22">
        <v>77474</v>
      </c>
    </row>
    <row r="143" spans="1:4" x14ac:dyDescent="0.3">
      <c r="A143" t="s">
        <v>283</v>
      </c>
      <c r="B143" t="s">
        <v>153</v>
      </c>
      <c r="C143" s="22">
        <v>97625</v>
      </c>
      <c r="D143" s="22">
        <v>455</v>
      </c>
    </row>
    <row r="144" spans="1:4" x14ac:dyDescent="0.3">
      <c r="A144" t="s">
        <v>284</v>
      </c>
      <c r="B144" t="s">
        <v>153</v>
      </c>
      <c r="C144" s="22">
        <v>7813215</v>
      </c>
      <c r="D144" s="22">
        <v>71740</v>
      </c>
    </row>
    <row r="145" spans="1:4" x14ac:dyDescent="0.3">
      <c r="A145" t="s">
        <v>285</v>
      </c>
      <c r="B145" t="s">
        <v>159</v>
      </c>
      <c r="C145" s="22">
        <v>5703569</v>
      </c>
      <c r="D145" s="22">
        <v>716.1</v>
      </c>
    </row>
    <row r="146" spans="1:4" x14ac:dyDescent="0.3">
      <c r="A146" t="s">
        <v>286</v>
      </c>
      <c r="B146" t="s">
        <v>148</v>
      </c>
      <c r="C146" s="22">
        <v>5454073</v>
      </c>
      <c r="D146" s="22">
        <v>49035</v>
      </c>
    </row>
    <row r="147" spans="1:4" x14ac:dyDescent="0.3">
      <c r="A147" t="s">
        <v>287</v>
      </c>
      <c r="B147" t="s">
        <v>148</v>
      </c>
      <c r="C147" s="22">
        <v>2087946</v>
      </c>
      <c r="D147" s="22">
        <v>20273</v>
      </c>
    </row>
    <row r="148" spans="1:4" x14ac:dyDescent="0.3">
      <c r="A148" t="s">
        <v>288</v>
      </c>
      <c r="B148" t="s">
        <v>159</v>
      </c>
      <c r="C148" s="22">
        <v>669823</v>
      </c>
      <c r="D148" s="22">
        <v>28896</v>
      </c>
    </row>
    <row r="149" spans="1:4" x14ac:dyDescent="0.3">
      <c r="A149" t="s">
        <v>289</v>
      </c>
      <c r="B149" t="s">
        <v>153</v>
      </c>
      <c r="C149" s="22">
        <v>15442905</v>
      </c>
      <c r="D149" s="22">
        <v>637657</v>
      </c>
    </row>
    <row r="150" spans="1:4" x14ac:dyDescent="0.3">
      <c r="A150" t="s">
        <v>290</v>
      </c>
      <c r="B150" t="s">
        <v>153</v>
      </c>
      <c r="C150" s="22">
        <v>58558270</v>
      </c>
      <c r="D150" s="22">
        <v>1219090</v>
      </c>
    </row>
    <row r="151" spans="1:4" x14ac:dyDescent="0.3">
      <c r="A151" t="s">
        <v>8</v>
      </c>
      <c r="B151" t="s">
        <v>148</v>
      </c>
      <c r="C151" s="22">
        <v>47076781</v>
      </c>
      <c r="D151" s="22">
        <v>505370</v>
      </c>
    </row>
    <row r="152" spans="1:4" x14ac:dyDescent="0.3">
      <c r="A152" t="s">
        <v>291</v>
      </c>
      <c r="B152" t="s">
        <v>146</v>
      </c>
      <c r="C152" s="22">
        <v>21803000</v>
      </c>
      <c r="D152" s="22">
        <v>65610</v>
      </c>
    </row>
    <row r="153" spans="1:4" x14ac:dyDescent="0.3">
      <c r="A153" t="s">
        <v>292</v>
      </c>
      <c r="B153" t="s">
        <v>155</v>
      </c>
      <c r="C153" s="22">
        <v>52823</v>
      </c>
      <c r="D153" s="22">
        <v>261</v>
      </c>
    </row>
    <row r="154" spans="1:4" x14ac:dyDescent="0.3">
      <c r="A154" t="s">
        <v>293</v>
      </c>
      <c r="B154" t="s">
        <v>155</v>
      </c>
      <c r="C154" s="22">
        <v>182790</v>
      </c>
      <c r="D154" s="22">
        <v>616</v>
      </c>
    </row>
    <row r="155" spans="1:4" x14ac:dyDescent="0.3">
      <c r="A155" t="s">
        <v>294</v>
      </c>
      <c r="B155" t="s">
        <v>155</v>
      </c>
      <c r="C155" s="22">
        <v>110589</v>
      </c>
      <c r="D155" s="22">
        <v>389</v>
      </c>
    </row>
    <row r="156" spans="1:4" x14ac:dyDescent="0.3">
      <c r="A156" t="s">
        <v>295</v>
      </c>
      <c r="B156" t="s">
        <v>155</v>
      </c>
      <c r="C156" s="22">
        <v>581372</v>
      </c>
      <c r="D156" s="22">
        <v>163820</v>
      </c>
    </row>
    <row r="157" spans="1:4" x14ac:dyDescent="0.3">
      <c r="A157" t="s">
        <v>13</v>
      </c>
      <c r="B157" t="s">
        <v>148</v>
      </c>
      <c r="C157" s="22">
        <v>10285453</v>
      </c>
      <c r="D157" s="22">
        <v>450295</v>
      </c>
    </row>
    <row r="158" spans="1:4" x14ac:dyDescent="0.3">
      <c r="A158" t="s">
        <v>7</v>
      </c>
      <c r="B158" t="s">
        <v>148</v>
      </c>
      <c r="C158" s="22">
        <v>8574832</v>
      </c>
      <c r="D158" s="22">
        <v>41277</v>
      </c>
    </row>
    <row r="159" spans="1:4" x14ac:dyDescent="0.3">
      <c r="A159" t="s">
        <v>296</v>
      </c>
      <c r="B159" t="s">
        <v>148</v>
      </c>
      <c r="C159" s="22">
        <v>9321018</v>
      </c>
      <c r="D159" s="22">
        <v>144100</v>
      </c>
    </row>
    <row r="160" spans="1:4" x14ac:dyDescent="0.3">
      <c r="A160" t="s">
        <v>297</v>
      </c>
      <c r="B160" t="s">
        <v>153</v>
      </c>
      <c r="C160" s="22">
        <v>58005463</v>
      </c>
      <c r="D160" s="22">
        <v>947300</v>
      </c>
    </row>
    <row r="161" spans="1:4" x14ac:dyDescent="0.3">
      <c r="A161" t="s">
        <v>298</v>
      </c>
      <c r="B161" t="s">
        <v>159</v>
      </c>
      <c r="C161" s="22">
        <v>69625582</v>
      </c>
      <c r="D161" s="22">
        <v>513120</v>
      </c>
    </row>
    <row r="162" spans="1:4" x14ac:dyDescent="0.3">
      <c r="A162" t="s">
        <v>299</v>
      </c>
      <c r="B162" t="s">
        <v>159</v>
      </c>
      <c r="C162" s="22">
        <v>3500000</v>
      </c>
      <c r="D162" s="22">
        <v>14874</v>
      </c>
    </row>
    <row r="163" spans="1:4" x14ac:dyDescent="0.3">
      <c r="A163" t="s">
        <v>300</v>
      </c>
      <c r="B163" t="s">
        <v>153</v>
      </c>
      <c r="C163" s="22">
        <v>8082366</v>
      </c>
      <c r="D163" s="22">
        <v>56785</v>
      </c>
    </row>
    <row r="164" spans="1:4" x14ac:dyDescent="0.3">
      <c r="A164" t="s">
        <v>301</v>
      </c>
      <c r="B164" t="s">
        <v>159</v>
      </c>
      <c r="C164" s="22">
        <v>104494</v>
      </c>
      <c r="D164" s="22">
        <v>747</v>
      </c>
    </row>
    <row r="165" spans="1:4" x14ac:dyDescent="0.3">
      <c r="A165" t="s">
        <v>302</v>
      </c>
      <c r="B165" t="s">
        <v>155</v>
      </c>
      <c r="C165" s="22">
        <v>1394973</v>
      </c>
      <c r="D165" s="22">
        <v>5128</v>
      </c>
    </row>
    <row r="166" spans="1:4" x14ac:dyDescent="0.3">
      <c r="A166" t="s">
        <v>303</v>
      </c>
      <c r="B166" t="s">
        <v>150</v>
      </c>
      <c r="C166" s="22">
        <v>11694719</v>
      </c>
      <c r="D166" s="22">
        <v>163610</v>
      </c>
    </row>
    <row r="167" spans="1:4" x14ac:dyDescent="0.3">
      <c r="A167" t="s">
        <v>304</v>
      </c>
      <c r="B167" t="s">
        <v>148</v>
      </c>
      <c r="C167" s="22">
        <v>83429615</v>
      </c>
      <c r="D167" s="22">
        <v>783562</v>
      </c>
    </row>
    <row r="168" spans="1:4" x14ac:dyDescent="0.3">
      <c r="A168" t="s">
        <v>305</v>
      </c>
      <c r="B168" t="s">
        <v>148</v>
      </c>
      <c r="C168" s="22">
        <v>5942089</v>
      </c>
      <c r="D168" s="22">
        <v>488100</v>
      </c>
    </row>
    <row r="169" spans="1:4" x14ac:dyDescent="0.3">
      <c r="A169" t="s">
        <v>306</v>
      </c>
      <c r="B169" t="s">
        <v>155</v>
      </c>
      <c r="C169" s="22">
        <v>42953</v>
      </c>
      <c r="D169" s="22">
        <v>948</v>
      </c>
    </row>
    <row r="170" spans="1:4" x14ac:dyDescent="0.3">
      <c r="A170" t="s">
        <v>307</v>
      </c>
      <c r="B170" t="s">
        <v>159</v>
      </c>
      <c r="C170" s="22">
        <v>11646</v>
      </c>
      <c r="D170" s="22">
        <v>26</v>
      </c>
    </row>
    <row r="171" spans="1:4" x14ac:dyDescent="0.3">
      <c r="A171" t="s">
        <v>308</v>
      </c>
      <c r="B171" t="s">
        <v>153</v>
      </c>
      <c r="C171" s="22">
        <v>44269594</v>
      </c>
      <c r="D171" s="22">
        <v>241038</v>
      </c>
    </row>
    <row r="172" spans="1:4" x14ac:dyDescent="0.3">
      <c r="A172" t="s">
        <v>309</v>
      </c>
      <c r="B172" t="s">
        <v>148</v>
      </c>
      <c r="C172" s="22">
        <v>44385155</v>
      </c>
      <c r="D172" s="22">
        <v>603550</v>
      </c>
    </row>
    <row r="173" spans="1:4" x14ac:dyDescent="0.3">
      <c r="A173" t="s">
        <v>310</v>
      </c>
      <c r="B173" t="s">
        <v>150</v>
      </c>
      <c r="C173" s="22">
        <v>9770529</v>
      </c>
      <c r="D173" s="22">
        <v>83600</v>
      </c>
    </row>
    <row r="174" spans="1:4" x14ac:dyDescent="0.3">
      <c r="A174" t="s">
        <v>2</v>
      </c>
      <c r="B174" t="s">
        <v>148</v>
      </c>
      <c r="C174" s="22">
        <v>66834405</v>
      </c>
      <c r="D174" s="22">
        <v>243610</v>
      </c>
    </row>
    <row r="175" spans="1:4" x14ac:dyDescent="0.3">
      <c r="A175" t="s">
        <v>311</v>
      </c>
      <c r="B175" t="s">
        <v>179</v>
      </c>
      <c r="C175" s="22">
        <v>328239523</v>
      </c>
      <c r="D175" s="22">
        <v>9833517</v>
      </c>
    </row>
    <row r="176" spans="1:4" x14ac:dyDescent="0.3">
      <c r="A176" t="s">
        <v>312</v>
      </c>
      <c r="B176" t="s">
        <v>155</v>
      </c>
      <c r="C176" s="22">
        <v>3461734</v>
      </c>
      <c r="D176" s="22">
        <v>176215</v>
      </c>
    </row>
    <row r="177" spans="1:4" x14ac:dyDescent="0.3">
      <c r="A177" t="s">
        <v>313</v>
      </c>
      <c r="B177" t="s">
        <v>148</v>
      </c>
      <c r="C177" s="22">
        <v>33580650</v>
      </c>
      <c r="D177" s="22">
        <v>447400</v>
      </c>
    </row>
    <row r="178" spans="1:4" x14ac:dyDescent="0.3">
      <c r="A178" t="s">
        <v>314</v>
      </c>
      <c r="B178" t="s">
        <v>159</v>
      </c>
      <c r="C178" s="22">
        <v>299882</v>
      </c>
      <c r="D178" s="22">
        <v>12189</v>
      </c>
    </row>
    <row r="179" spans="1:4" x14ac:dyDescent="0.3">
      <c r="A179" t="s">
        <v>315</v>
      </c>
      <c r="B179" t="s">
        <v>159</v>
      </c>
      <c r="C179" s="22">
        <v>96462106</v>
      </c>
      <c r="D179" s="22">
        <v>331210</v>
      </c>
    </row>
    <row r="180" spans="1:4" x14ac:dyDescent="0.3">
      <c r="A180" t="s">
        <v>316</v>
      </c>
      <c r="B180" t="s">
        <v>150</v>
      </c>
      <c r="C180" s="22">
        <v>29161922</v>
      </c>
      <c r="D180" s="22">
        <v>527968</v>
      </c>
    </row>
    <row r="181" spans="1:4" x14ac:dyDescent="0.3">
      <c r="A181" t="s">
        <v>317</v>
      </c>
      <c r="B181" t="s">
        <v>153</v>
      </c>
      <c r="C181" s="22">
        <v>17861030</v>
      </c>
      <c r="D181" s="22">
        <v>752618</v>
      </c>
    </row>
    <row r="182" spans="1:4" x14ac:dyDescent="0.3">
      <c r="A182" t="s">
        <v>318</v>
      </c>
      <c r="B182" t="s">
        <v>153</v>
      </c>
      <c r="C182" s="22">
        <v>14645468</v>
      </c>
      <c r="D182" s="22">
        <v>390757</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BC94E2-723D-4954-81B3-83B1097F9523}">
  <sheetPr codeName="Sheet13">
    <tabColor theme="9" tint="0.59999389629810485"/>
  </sheetPr>
  <dimension ref="A3:D11"/>
  <sheetViews>
    <sheetView workbookViewId="0">
      <selection activeCell="A3" sqref="A3"/>
    </sheetView>
  </sheetViews>
  <sheetFormatPr defaultRowHeight="14.4" x14ac:dyDescent="0.3"/>
  <cols>
    <col min="1" max="1" width="23" bestFit="1" customWidth="1"/>
    <col min="2" max="2" width="16.77734375" bestFit="1" customWidth="1"/>
    <col min="3" max="3" width="11.6640625" bestFit="1" customWidth="1"/>
    <col min="4" max="4" width="26.88671875" bestFit="1" customWidth="1"/>
  </cols>
  <sheetData>
    <row r="3" spans="1:4" x14ac:dyDescent="0.3">
      <c r="A3" s="11" t="s">
        <v>144</v>
      </c>
      <c r="B3" t="s">
        <v>320</v>
      </c>
      <c r="C3" t="s">
        <v>322</v>
      </c>
      <c r="D3" t="s">
        <v>654</v>
      </c>
    </row>
    <row r="4" spans="1:4" x14ac:dyDescent="0.3">
      <c r="A4" t="s">
        <v>159</v>
      </c>
      <c r="B4" s="22">
        <v>2285279040</v>
      </c>
      <c r="C4" s="22">
        <v>24434902.300000001</v>
      </c>
      <c r="D4" s="22">
        <v>93.525196538232109</v>
      </c>
    </row>
    <row r="5" spans="1:4" x14ac:dyDescent="0.3">
      <c r="A5" t="s">
        <v>146</v>
      </c>
      <c r="B5" s="22">
        <v>1835776742</v>
      </c>
      <c r="C5" s="22">
        <v>5135531</v>
      </c>
      <c r="D5" s="22">
        <v>357.46580869631595</v>
      </c>
    </row>
    <row r="6" spans="1:4" x14ac:dyDescent="0.3">
      <c r="A6" t="s">
        <v>153</v>
      </c>
      <c r="B6" s="22">
        <v>1049530538</v>
      </c>
      <c r="C6" s="22">
        <v>21646744</v>
      </c>
      <c r="D6" s="22">
        <v>48.484452811933288</v>
      </c>
    </row>
    <row r="7" spans="1:4" x14ac:dyDescent="0.3">
      <c r="A7" t="s">
        <v>148</v>
      </c>
      <c r="B7" s="22">
        <v>918863253</v>
      </c>
      <c r="C7" s="22">
        <v>28062555</v>
      </c>
      <c r="D7" s="22">
        <v>32.743392502927833</v>
      </c>
    </row>
    <row r="8" spans="1:4" x14ac:dyDescent="0.3">
      <c r="A8" t="s">
        <v>155</v>
      </c>
      <c r="B8" s="22">
        <v>606875478</v>
      </c>
      <c r="C8" s="22">
        <v>19416627.399999999</v>
      </c>
      <c r="D8" s="22">
        <v>31.255452633344554</v>
      </c>
    </row>
    <row r="9" spans="1:4" x14ac:dyDescent="0.3">
      <c r="A9" t="s">
        <v>179</v>
      </c>
      <c r="B9" s="22">
        <v>365828785</v>
      </c>
      <c r="C9" s="22">
        <v>19818187</v>
      </c>
      <c r="D9" s="22">
        <v>18.459245792766009</v>
      </c>
    </row>
    <row r="10" spans="1:4" x14ac:dyDescent="0.3">
      <c r="A10" t="s">
        <v>150</v>
      </c>
      <c r="B10" s="22">
        <v>352038057</v>
      </c>
      <c r="C10" s="22">
        <v>9436163.3000000007</v>
      </c>
      <c r="D10" s="22">
        <v>37.307329876328019</v>
      </c>
    </row>
    <row r="11" spans="1:4" x14ac:dyDescent="0.3">
      <c r="A11" t="s">
        <v>28</v>
      </c>
      <c r="B11" s="22">
        <v>7414191893</v>
      </c>
      <c r="C11" s="22">
        <v>127950709.99999999</v>
      </c>
      <c r="D11" s="22">
        <v>57.945687780865001</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9F28BE-B4AC-4DE5-9D0B-3ED73CCA27E0}">
  <sheetPr codeName="Sheet14">
    <tabColor theme="6" tint="-0.249977111117893"/>
  </sheetPr>
  <dimension ref="A1"/>
  <sheetViews>
    <sheetView showGridLines="0" workbookViewId="0"/>
  </sheetViews>
  <sheetFormatPr defaultRowHeight="14.4" x14ac:dyDescent="0.3"/>
  <cols>
    <col min="1" max="1" width="2.88671875" customWidth="1"/>
  </cols>
  <sheetData/>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302ECD-AB14-41B7-80C9-840AFDD63E48}">
  <sheetPr codeName="Sheet15">
    <tabColor theme="6" tint="0.59999389629810485"/>
  </sheetPr>
  <dimension ref="A1:I101"/>
  <sheetViews>
    <sheetView workbookViewId="0">
      <selection activeCell="K11" sqref="K11"/>
    </sheetView>
  </sheetViews>
  <sheetFormatPr defaultRowHeight="14.4" x14ac:dyDescent="0.3"/>
  <cols>
    <col min="1" max="1" width="9.109375" customWidth="1"/>
    <col min="2" max="2" width="11.44140625" customWidth="1"/>
    <col min="3" max="4" width="17.109375" customWidth="1"/>
    <col min="5" max="5" width="41.44140625" bestFit="1" customWidth="1"/>
    <col min="6" max="6" width="9.109375" customWidth="1"/>
    <col min="7" max="7" width="14.33203125" customWidth="1"/>
    <col min="8" max="8" width="17.109375" customWidth="1"/>
    <col min="9" max="9" width="9.109375" customWidth="1"/>
  </cols>
  <sheetData>
    <row r="1" spans="1:9" x14ac:dyDescent="0.3">
      <c r="A1" s="24" t="s">
        <v>0</v>
      </c>
      <c r="B1" s="24" t="s">
        <v>323</v>
      </c>
      <c r="C1" s="24" t="s">
        <v>324</v>
      </c>
      <c r="D1" s="24" t="s">
        <v>325</v>
      </c>
      <c r="E1" s="24" t="s">
        <v>326</v>
      </c>
      <c r="F1" s="24" t="s">
        <v>439</v>
      </c>
      <c r="G1" s="24" t="s">
        <v>437</v>
      </c>
      <c r="H1" s="24" t="s">
        <v>438</v>
      </c>
      <c r="I1" s="24" t="s">
        <v>137</v>
      </c>
    </row>
    <row r="2" spans="1:9" x14ac:dyDescent="0.3">
      <c r="A2" t="s">
        <v>3</v>
      </c>
      <c r="B2" t="s">
        <v>358</v>
      </c>
      <c r="C2" t="s">
        <v>359</v>
      </c>
      <c r="D2" t="s">
        <v>329</v>
      </c>
      <c r="E2" t="s">
        <v>367</v>
      </c>
      <c r="F2" s="1">
        <v>2009</v>
      </c>
      <c r="G2" s="1">
        <v>26</v>
      </c>
      <c r="H2" s="1">
        <v>15</v>
      </c>
      <c r="I2" s="25">
        <v>10</v>
      </c>
    </row>
    <row r="3" spans="1:9" x14ac:dyDescent="0.3">
      <c r="A3" t="s">
        <v>3</v>
      </c>
      <c r="B3" t="s">
        <v>358</v>
      </c>
      <c r="C3" t="s">
        <v>359</v>
      </c>
      <c r="D3" t="s">
        <v>329</v>
      </c>
      <c r="E3" t="s">
        <v>401</v>
      </c>
      <c r="F3" s="1">
        <v>2009</v>
      </c>
      <c r="G3" s="1">
        <v>50</v>
      </c>
      <c r="H3" s="1">
        <v>10</v>
      </c>
      <c r="I3" s="25">
        <v>22</v>
      </c>
    </row>
    <row r="4" spans="1:9" x14ac:dyDescent="0.3">
      <c r="A4" t="s">
        <v>3</v>
      </c>
      <c r="B4" t="s">
        <v>358</v>
      </c>
      <c r="C4" t="s">
        <v>359</v>
      </c>
      <c r="D4" t="s">
        <v>329</v>
      </c>
      <c r="E4" t="s">
        <v>368</v>
      </c>
      <c r="F4" s="1">
        <v>2010</v>
      </c>
      <c r="G4" s="1">
        <v>34</v>
      </c>
      <c r="H4" s="1">
        <v>15</v>
      </c>
      <c r="I4" s="25">
        <v>12</v>
      </c>
    </row>
    <row r="5" spans="1:9" x14ac:dyDescent="0.3">
      <c r="A5" t="s">
        <v>3</v>
      </c>
      <c r="B5" t="s">
        <v>358</v>
      </c>
      <c r="C5" t="s">
        <v>359</v>
      </c>
      <c r="D5" t="s">
        <v>329</v>
      </c>
      <c r="E5" t="s">
        <v>360</v>
      </c>
      <c r="F5" s="1">
        <v>2010</v>
      </c>
      <c r="G5" s="1">
        <v>15</v>
      </c>
      <c r="H5" s="1">
        <v>10</v>
      </c>
      <c r="I5" s="25">
        <v>20</v>
      </c>
    </row>
    <row r="6" spans="1:9" x14ac:dyDescent="0.3">
      <c r="A6" t="s">
        <v>3</v>
      </c>
      <c r="B6" t="s">
        <v>358</v>
      </c>
      <c r="C6" t="s">
        <v>359</v>
      </c>
      <c r="D6" t="s">
        <v>329</v>
      </c>
      <c r="E6" t="s">
        <v>411</v>
      </c>
      <c r="F6" s="1">
        <v>2010</v>
      </c>
      <c r="G6" s="1">
        <v>28</v>
      </c>
      <c r="H6" s="1">
        <v>15</v>
      </c>
      <c r="I6" s="25">
        <v>13</v>
      </c>
    </row>
    <row r="7" spans="1:9" x14ac:dyDescent="0.3">
      <c r="A7" t="s">
        <v>3</v>
      </c>
      <c r="B7" t="s">
        <v>358</v>
      </c>
      <c r="C7" t="s">
        <v>359</v>
      </c>
      <c r="D7" t="s">
        <v>329</v>
      </c>
      <c r="E7" t="s">
        <v>369</v>
      </c>
      <c r="F7" s="1">
        <v>2012</v>
      </c>
      <c r="G7" s="1">
        <v>36</v>
      </c>
      <c r="H7" s="1">
        <v>15</v>
      </c>
      <c r="I7" s="25">
        <v>12</v>
      </c>
    </row>
    <row r="8" spans="1:9" x14ac:dyDescent="0.3">
      <c r="A8" t="s">
        <v>3</v>
      </c>
      <c r="B8" t="s">
        <v>358</v>
      </c>
      <c r="C8" t="s">
        <v>359</v>
      </c>
      <c r="D8" t="s">
        <v>329</v>
      </c>
      <c r="E8" t="s">
        <v>370</v>
      </c>
      <c r="F8" s="1">
        <v>2014</v>
      </c>
      <c r="G8" s="1">
        <v>42</v>
      </c>
      <c r="H8" s="1">
        <v>15</v>
      </c>
      <c r="I8" s="25">
        <v>12</v>
      </c>
    </row>
    <row r="9" spans="1:9" x14ac:dyDescent="0.3">
      <c r="A9" t="s">
        <v>3</v>
      </c>
      <c r="B9" t="s">
        <v>358</v>
      </c>
      <c r="C9" t="s">
        <v>359</v>
      </c>
      <c r="D9" t="s">
        <v>329</v>
      </c>
      <c r="E9" t="s">
        <v>398</v>
      </c>
      <c r="F9" s="1">
        <v>2014</v>
      </c>
      <c r="G9" s="1">
        <v>16</v>
      </c>
      <c r="H9" s="1">
        <v>10</v>
      </c>
      <c r="I9" s="25">
        <v>20</v>
      </c>
    </row>
    <row r="10" spans="1:9" x14ac:dyDescent="0.3">
      <c r="A10" t="s">
        <v>3</v>
      </c>
      <c r="B10" t="s">
        <v>358</v>
      </c>
      <c r="C10" t="s">
        <v>359</v>
      </c>
      <c r="D10" t="s">
        <v>329</v>
      </c>
      <c r="E10" t="s">
        <v>400</v>
      </c>
      <c r="F10" s="1">
        <v>2014</v>
      </c>
      <c r="G10" s="1">
        <v>25</v>
      </c>
      <c r="H10" s="1">
        <v>15</v>
      </c>
      <c r="I10" s="25">
        <v>17</v>
      </c>
    </row>
    <row r="11" spans="1:9" x14ac:dyDescent="0.3">
      <c r="A11" t="s">
        <v>3</v>
      </c>
      <c r="B11" t="s">
        <v>358</v>
      </c>
      <c r="C11" t="s">
        <v>359</v>
      </c>
      <c r="D11" t="s">
        <v>329</v>
      </c>
      <c r="E11" t="s">
        <v>380</v>
      </c>
      <c r="F11" s="1">
        <v>2015</v>
      </c>
      <c r="G11" s="1">
        <v>31</v>
      </c>
      <c r="H11" s="1">
        <v>15</v>
      </c>
      <c r="I11" s="25">
        <v>13</v>
      </c>
    </row>
    <row r="12" spans="1:9" x14ac:dyDescent="0.3">
      <c r="A12" t="s">
        <v>3</v>
      </c>
      <c r="B12" t="s">
        <v>358</v>
      </c>
      <c r="C12" t="s">
        <v>359</v>
      </c>
      <c r="D12" t="s">
        <v>329</v>
      </c>
      <c r="E12" t="s">
        <v>361</v>
      </c>
      <c r="F12" s="1">
        <v>2015</v>
      </c>
      <c r="G12" s="1">
        <v>22</v>
      </c>
      <c r="H12" s="1">
        <v>10</v>
      </c>
      <c r="I12" s="25">
        <v>25</v>
      </c>
    </row>
    <row r="13" spans="1:9" x14ac:dyDescent="0.3">
      <c r="A13" t="s">
        <v>3</v>
      </c>
      <c r="B13" t="s">
        <v>340</v>
      </c>
      <c r="C13" t="s">
        <v>341</v>
      </c>
      <c r="D13" t="s">
        <v>342</v>
      </c>
      <c r="E13" t="s">
        <v>394</v>
      </c>
      <c r="F13" s="1">
        <v>2008</v>
      </c>
      <c r="G13" s="1">
        <v>36</v>
      </c>
      <c r="H13" s="1">
        <v>0</v>
      </c>
      <c r="I13" s="25">
        <v>255</v>
      </c>
    </row>
    <row r="14" spans="1:9" x14ac:dyDescent="0.3">
      <c r="A14" t="s">
        <v>3</v>
      </c>
      <c r="B14" t="s">
        <v>340</v>
      </c>
      <c r="C14" t="s">
        <v>341</v>
      </c>
      <c r="D14" t="s">
        <v>342</v>
      </c>
      <c r="E14" t="s">
        <v>412</v>
      </c>
      <c r="F14" s="1">
        <v>2008</v>
      </c>
      <c r="G14" s="1">
        <v>1</v>
      </c>
      <c r="H14" s="1">
        <v>3</v>
      </c>
      <c r="I14" s="25">
        <v>69</v>
      </c>
    </row>
    <row r="15" spans="1:9" x14ac:dyDescent="0.3">
      <c r="A15" t="s">
        <v>3</v>
      </c>
      <c r="B15" t="s">
        <v>340</v>
      </c>
      <c r="C15" t="s">
        <v>341</v>
      </c>
      <c r="D15" t="s">
        <v>342</v>
      </c>
      <c r="E15" t="s">
        <v>345</v>
      </c>
      <c r="F15" s="1">
        <v>2008</v>
      </c>
      <c r="G15" s="1">
        <v>29</v>
      </c>
      <c r="H15" s="1">
        <v>15</v>
      </c>
      <c r="I15" s="25">
        <v>16</v>
      </c>
    </row>
    <row r="16" spans="1:9" x14ac:dyDescent="0.3">
      <c r="A16" t="s">
        <v>3</v>
      </c>
      <c r="B16" t="s">
        <v>340</v>
      </c>
      <c r="C16" t="s">
        <v>341</v>
      </c>
      <c r="D16" t="s">
        <v>342</v>
      </c>
      <c r="E16" t="s">
        <v>397</v>
      </c>
      <c r="F16" s="1">
        <v>2009</v>
      </c>
      <c r="G16" s="1">
        <v>50</v>
      </c>
      <c r="H16" s="1">
        <v>0</v>
      </c>
      <c r="I16" s="25">
        <v>299</v>
      </c>
    </row>
    <row r="17" spans="1:9" x14ac:dyDescent="0.3">
      <c r="A17" t="s">
        <v>3</v>
      </c>
      <c r="B17" t="s">
        <v>340</v>
      </c>
      <c r="C17" t="s">
        <v>341</v>
      </c>
      <c r="D17" t="s">
        <v>342</v>
      </c>
      <c r="E17" t="s">
        <v>343</v>
      </c>
      <c r="F17" s="1">
        <v>2009</v>
      </c>
      <c r="G17" s="1">
        <v>45</v>
      </c>
      <c r="H17" s="1">
        <v>3</v>
      </c>
      <c r="I17" s="25">
        <v>75</v>
      </c>
    </row>
    <row r="18" spans="1:9" x14ac:dyDescent="0.3">
      <c r="A18" t="s">
        <v>3</v>
      </c>
      <c r="B18" t="s">
        <v>340</v>
      </c>
      <c r="C18" t="s">
        <v>341</v>
      </c>
      <c r="D18" t="s">
        <v>342</v>
      </c>
      <c r="E18" t="s">
        <v>350</v>
      </c>
      <c r="F18" s="1">
        <v>2009</v>
      </c>
      <c r="G18" s="1">
        <v>35</v>
      </c>
      <c r="H18" s="1">
        <v>3</v>
      </c>
      <c r="I18" s="25">
        <v>70</v>
      </c>
    </row>
    <row r="19" spans="1:9" x14ac:dyDescent="0.3">
      <c r="A19" t="s">
        <v>3</v>
      </c>
      <c r="B19" t="s">
        <v>340</v>
      </c>
      <c r="C19" t="s">
        <v>341</v>
      </c>
      <c r="D19" t="s">
        <v>342</v>
      </c>
      <c r="E19" t="s">
        <v>391</v>
      </c>
      <c r="F19" s="1">
        <v>2009</v>
      </c>
      <c r="G19" s="1">
        <v>14</v>
      </c>
      <c r="H19" s="1">
        <v>0</v>
      </c>
      <c r="I19" s="25">
        <v>320</v>
      </c>
    </row>
    <row r="20" spans="1:9" x14ac:dyDescent="0.3">
      <c r="A20" t="s">
        <v>3</v>
      </c>
      <c r="B20" t="s">
        <v>340</v>
      </c>
      <c r="C20" t="s">
        <v>341</v>
      </c>
      <c r="D20" t="s">
        <v>342</v>
      </c>
      <c r="E20" t="s">
        <v>419</v>
      </c>
      <c r="F20" s="1">
        <v>2010</v>
      </c>
      <c r="G20" s="1">
        <v>30</v>
      </c>
      <c r="H20" s="1">
        <v>3</v>
      </c>
      <c r="I20" s="25">
        <v>70</v>
      </c>
    </row>
    <row r="21" spans="1:9" x14ac:dyDescent="0.3">
      <c r="A21" t="s">
        <v>3</v>
      </c>
      <c r="B21" t="s">
        <v>340</v>
      </c>
      <c r="C21" t="s">
        <v>341</v>
      </c>
      <c r="D21" t="s">
        <v>342</v>
      </c>
      <c r="E21" t="s">
        <v>425</v>
      </c>
      <c r="F21" s="1">
        <v>2011</v>
      </c>
      <c r="G21" s="1">
        <v>43</v>
      </c>
      <c r="H21" s="1">
        <v>10</v>
      </c>
      <c r="I21" s="25">
        <v>45</v>
      </c>
    </row>
    <row r="22" spans="1:9" x14ac:dyDescent="0.3">
      <c r="A22" t="s">
        <v>3</v>
      </c>
      <c r="B22" t="s">
        <v>340</v>
      </c>
      <c r="C22" t="s">
        <v>341</v>
      </c>
      <c r="D22" t="s">
        <v>342</v>
      </c>
      <c r="E22" t="s">
        <v>392</v>
      </c>
      <c r="F22" s="1">
        <v>2011</v>
      </c>
      <c r="G22" s="1">
        <v>33</v>
      </c>
      <c r="H22" s="1">
        <v>0</v>
      </c>
      <c r="I22" s="25">
        <v>380</v>
      </c>
    </row>
    <row r="23" spans="1:9" x14ac:dyDescent="0.3">
      <c r="A23" t="s">
        <v>3</v>
      </c>
      <c r="B23" t="s">
        <v>340</v>
      </c>
      <c r="C23" t="s">
        <v>341</v>
      </c>
      <c r="D23" t="s">
        <v>342</v>
      </c>
      <c r="E23" t="s">
        <v>418</v>
      </c>
      <c r="F23" s="1">
        <v>2011</v>
      </c>
      <c r="G23" s="1">
        <v>45</v>
      </c>
      <c r="H23" s="1">
        <v>3</v>
      </c>
      <c r="I23" s="25">
        <v>75</v>
      </c>
    </row>
    <row r="24" spans="1:9" x14ac:dyDescent="0.3">
      <c r="A24" t="s">
        <v>3</v>
      </c>
      <c r="B24" t="s">
        <v>340</v>
      </c>
      <c r="C24" t="s">
        <v>341</v>
      </c>
      <c r="D24" t="s">
        <v>342</v>
      </c>
      <c r="E24" t="s">
        <v>348</v>
      </c>
      <c r="F24" s="1">
        <v>2012</v>
      </c>
      <c r="G24" s="1">
        <v>15</v>
      </c>
      <c r="H24" s="1">
        <v>10</v>
      </c>
      <c r="I24" s="25">
        <v>24</v>
      </c>
    </row>
    <row r="25" spans="1:9" x14ac:dyDescent="0.3">
      <c r="A25" t="s">
        <v>3</v>
      </c>
      <c r="B25" t="s">
        <v>340</v>
      </c>
      <c r="C25" t="s">
        <v>341</v>
      </c>
      <c r="D25" t="s">
        <v>342</v>
      </c>
      <c r="E25" t="s">
        <v>399</v>
      </c>
      <c r="F25" s="1">
        <v>2012</v>
      </c>
      <c r="G25" s="1">
        <v>47</v>
      </c>
      <c r="H25" s="1">
        <v>10</v>
      </c>
      <c r="I25" s="25">
        <v>23</v>
      </c>
    </row>
    <row r="26" spans="1:9" x14ac:dyDescent="0.3">
      <c r="A26" t="s">
        <v>3</v>
      </c>
      <c r="B26" t="s">
        <v>340</v>
      </c>
      <c r="C26" t="s">
        <v>341</v>
      </c>
      <c r="D26" t="s">
        <v>342</v>
      </c>
      <c r="E26" t="s">
        <v>396</v>
      </c>
      <c r="F26" s="1">
        <v>2014</v>
      </c>
      <c r="G26" s="1">
        <v>36</v>
      </c>
      <c r="H26" s="1">
        <v>0</v>
      </c>
      <c r="I26" s="25">
        <v>430</v>
      </c>
    </row>
    <row r="27" spans="1:9" x14ac:dyDescent="0.3">
      <c r="A27" t="s">
        <v>3</v>
      </c>
      <c r="B27" t="s">
        <v>340</v>
      </c>
      <c r="C27" t="s">
        <v>341</v>
      </c>
      <c r="D27" t="s">
        <v>342</v>
      </c>
      <c r="E27" t="s">
        <v>349</v>
      </c>
      <c r="F27" s="1">
        <v>2014</v>
      </c>
      <c r="G27" s="1">
        <v>35</v>
      </c>
      <c r="H27" s="1">
        <v>10</v>
      </c>
      <c r="I27" s="25">
        <v>25</v>
      </c>
    </row>
    <row r="28" spans="1:9" x14ac:dyDescent="0.3">
      <c r="A28" t="s">
        <v>3</v>
      </c>
      <c r="B28" t="s">
        <v>340</v>
      </c>
      <c r="C28" t="s">
        <v>341</v>
      </c>
      <c r="D28" t="s">
        <v>342</v>
      </c>
      <c r="E28" t="s">
        <v>378</v>
      </c>
      <c r="F28" s="1">
        <v>2014</v>
      </c>
      <c r="G28" s="1">
        <v>14</v>
      </c>
      <c r="H28" s="1">
        <v>0</v>
      </c>
      <c r="I28" s="25">
        <v>630</v>
      </c>
    </row>
    <row r="29" spans="1:9" x14ac:dyDescent="0.3">
      <c r="A29" t="s">
        <v>3</v>
      </c>
      <c r="B29" t="s">
        <v>340</v>
      </c>
      <c r="C29" t="s">
        <v>341</v>
      </c>
      <c r="D29" t="s">
        <v>342</v>
      </c>
      <c r="E29" t="s">
        <v>395</v>
      </c>
      <c r="F29" s="1">
        <v>2015</v>
      </c>
      <c r="G29" s="1">
        <v>15</v>
      </c>
      <c r="H29" s="1">
        <v>0</v>
      </c>
      <c r="I29" s="25">
        <v>400</v>
      </c>
    </row>
    <row r="30" spans="1:9" x14ac:dyDescent="0.3">
      <c r="A30" t="s">
        <v>3</v>
      </c>
      <c r="B30" t="s">
        <v>340</v>
      </c>
      <c r="C30" t="s">
        <v>341</v>
      </c>
      <c r="D30" t="s">
        <v>342</v>
      </c>
      <c r="E30" t="s">
        <v>393</v>
      </c>
      <c r="F30" s="1">
        <v>2015</v>
      </c>
      <c r="G30" s="1">
        <v>24</v>
      </c>
      <c r="H30" s="1">
        <v>0</v>
      </c>
      <c r="I30" s="25">
        <v>450</v>
      </c>
    </row>
    <row r="31" spans="1:9" x14ac:dyDescent="0.3">
      <c r="A31" t="s">
        <v>3</v>
      </c>
      <c r="B31" t="s">
        <v>340</v>
      </c>
      <c r="C31" t="s">
        <v>341</v>
      </c>
      <c r="D31" t="s">
        <v>342</v>
      </c>
      <c r="E31" t="s">
        <v>420</v>
      </c>
      <c r="F31" s="1">
        <v>2015</v>
      </c>
      <c r="G31" s="1">
        <v>24</v>
      </c>
      <c r="H31" s="1">
        <v>3</v>
      </c>
      <c r="I31" s="25">
        <v>90</v>
      </c>
    </row>
    <row r="32" spans="1:9" x14ac:dyDescent="0.3">
      <c r="A32" t="s">
        <v>3</v>
      </c>
      <c r="B32" t="s">
        <v>340</v>
      </c>
      <c r="C32" t="s">
        <v>341</v>
      </c>
      <c r="D32" t="s">
        <v>342</v>
      </c>
      <c r="E32" t="s">
        <v>420</v>
      </c>
      <c r="F32" s="1">
        <v>2015</v>
      </c>
      <c r="G32" s="1">
        <v>3</v>
      </c>
      <c r="H32" s="1">
        <v>3</v>
      </c>
      <c r="I32" s="25">
        <v>90</v>
      </c>
    </row>
    <row r="33" spans="1:9" x14ac:dyDescent="0.3">
      <c r="A33" t="s">
        <v>3</v>
      </c>
      <c r="B33" t="s">
        <v>340</v>
      </c>
      <c r="C33" t="s">
        <v>341</v>
      </c>
      <c r="D33" t="s">
        <v>346</v>
      </c>
      <c r="E33" t="s">
        <v>382</v>
      </c>
      <c r="F33" s="1">
        <v>2005</v>
      </c>
      <c r="G33" s="1">
        <v>32</v>
      </c>
      <c r="H33" s="1">
        <v>1</v>
      </c>
      <c r="I33" s="25">
        <v>240</v>
      </c>
    </row>
    <row r="34" spans="1:9" x14ac:dyDescent="0.3">
      <c r="A34" t="s">
        <v>3</v>
      </c>
      <c r="B34" t="s">
        <v>340</v>
      </c>
      <c r="C34" t="s">
        <v>341</v>
      </c>
      <c r="D34" t="s">
        <v>346</v>
      </c>
      <c r="E34" t="s">
        <v>386</v>
      </c>
      <c r="F34" s="1">
        <v>2005</v>
      </c>
      <c r="G34" s="1">
        <v>15</v>
      </c>
      <c r="H34" s="1">
        <v>3</v>
      </c>
      <c r="I34" s="25">
        <v>50</v>
      </c>
    </row>
    <row r="35" spans="1:9" x14ac:dyDescent="0.3">
      <c r="A35" t="s">
        <v>3</v>
      </c>
      <c r="B35" t="s">
        <v>340</v>
      </c>
      <c r="C35" t="s">
        <v>341</v>
      </c>
      <c r="D35" t="s">
        <v>346</v>
      </c>
      <c r="E35" t="s">
        <v>402</v>
      </c>
      <c r="F35" s="1">
        <v>2005</v>
      </c>
      <c r="G35" s="1">
        <v>50</v>
      </c>
      <c r="H35" s="1">
        <v>3</v>
      </c>
      <c r="I35" s="25">
        <v>60</v>
      </c>
    </row>
    <row r="36" spans="1:9" x14ac:dyDescent="0.3">
      <c r="A36" t="s">
        <v>3</v>
      </c>
      <c r="B36" t="s">
        <v>340</v>
      </c>
      <c r="C36" t="s">
        <v>341</v>
      </c>
      <c r="D36" t="s">
        <v>346</v>
      </c>
      <c r="E36" t="s">
        <v>381</v>
      </c>
      <c r="F36" s="1">
        <v>2008</v>
      </c>
      <c r="G36" s="1">
        <v>43</v>
      </c>
      <c r="H36" s="1">
        <v>1</v>
      </c>
      <c r="I36" s="25">
        <v>229</v>
      </c>
    </row>
    <row r="37" spans="1:9" x14ac:dyDescent="0.3">
      <c r="A37" t="s">
        <v>3</v>
      </c>
      <c r="B37" t="s">
        <v>340</v>
      </c>
      <c r="C37" t="s">
        <v>341</v>
      </c>
      <c r="D37" t="s">
        <v>346</v>
      </c>
      <c r="E37" t="s">
        <v>410</v>
      </c>
      <c r="F37" s="1">
        <v>2009</v>
      </c>
      <c r="G37" s="1">
        <v>40</v>
      </c>
      <c r="H37" s="1">
        <v>0</v>
      </c>
      <c r="I37" s="25">
        <v>359</v>
      </c>
    </row>
    <row r="38" spans="1:9" x14ac:dyDescent="0.3">
      <c r="A38" t="s">
        <v>3</v>
      </c>
      <c r="B38" t="s">
        <v>340</v>
      </c>
      <c r="C38" t="s">
        <v>341</v>
      </c>
      <c r="D38" t="s">
        <v>346</v>
      </c>
      <c r="E38" t="s">
        <v>347</v>
      </c>
      <c r="F38" s="1">
        <v>2009</v>
      </c>
      <c r="G38" s="1">
        <v>31</v>
      </c>
      <c r="H38" s="1">
        <v>3</v>
      </c>
      <c r="I38" s="25">
        <v>65</v>
      </c>
    </row>
    <row r="39" spans="1:9" x14ac:dyDescent="0.3">
      <c r="A39" t="s">
        <v>3</v>
      </c>
      <c r="B39" t="s">
        <v>340</v>
      </c>
      <c r="C39" t="s">
        <v>341</v>
      </c>
      <c r="D39" t="s">
        <v>346</v>
      </c>
      <c r="E39" t="s">
        <v>379</v>
      </c>
      <c r="F39" s="1">
        <v>2009</v>
      </c>
      <c r="G39" s="1">
        <v>30</v>
      </c>
      <c r="H39" s="1">
        <v>1</v>
      </c>
      <c r="I39" s="25">
        <v>135</v>
      </c>
    </row>
    <row r="40" spans="1:9" x14ac:dyDescent="0.3">
      <c r="A40" t="s">
        <v>3</v>
      </c>
      <c r="B40" t="s">
        <v>340</v>
      </c>
      <c r="C40" t="s">
        <v>341</v>
      </c>
      <c r="D40" t="s">
        <v>346</v>
      </c>
      <c r="E40" t="s">
        <v>351</v>
      </c>
      <c r="F40" s="1">
        <v>2009</v>
      </c>
      <c r="G40" s="1">
        <v>42</v>
      </c>
      <c r="H40" s="1">
        <v>1</v>
      </c>
      <c r="I40" s="25">
        <v>115</v>
      </c>
    </row>
    <row r="41" spans="1:9" x14ac:dyDescent="0.3">
      <c r="A41" t="s">
        <v>3</v>
      </c>
      <c r="B41" t="s">
        <v>340</v>
      </c>
      <c r="C41" t="s">
        <v>341</v>
      </c>
      <c r="D41" t="s">
        <v>346</v>
      </c>
      <c r="E41" t="s">
        <v>415</v>
      </c>
      <c r="F41" s="1">
        <v>2009</v>
      </c>
      <c r="G41" s="1">
        <v>28</v>
      </c>
      <c r="H41" s="1">
        <v>0</v>
      </c>
      <c r="I41" s="25">
        <v>425</v>
      </c>
    </row>
    <row r="42" spans="1:9" x14ac:dyDescent="0.3">
      <c r="A42" t="s">
        <v>3</v>
      </c>
      <c r="B42" t="s">
        <v>340</v>
      </c>
      <c r="C42" t="s">
        <v>341</v>
      </c>
      <c r="D42" t="s">
        <v>346</v>
      </c>
      <c r="E42" t="s">
        <v>383</v>
      </c>
      <c r="F42" s="1">
        <v>2010</v>
      </c>
      <c r="G42" s="1">
        <v>12</v>
      </c>
      <c r="H42" s="1">
        <v>0</v>
      </c>
      <c r="I42" s="25">
        <v>260</v>
      </c>
    </row>
    <row r="43" spans="1:9" x14ac:dyDescent="0.3">
      <c r="A43" t="s">
        <v>3</v>
      </c>
      <c r="B43" t="s">
        <v>340</v>
      </c>
      <c r="C43" t="s">
        <v>341</v>
      </c>
      <c r="D43" t="s">
        <v>346</v>
      </c>
      <c r="E43" t="s">
        <v>384</v>
      </c>
      <c r="F43" s="1">
        <v>2011</v>
      </c>
      <c r="G43" s="1">
        <v>25</v>
      </c>
      <c r="H43" s="1">
        <v>0</v>
      </c>
      <c r="I43" s="25">
        <v>280</v>
      </c>
    </row>
    <row r="44" spans="1:9" x14ac:dyDescent="0.3">
      <c r="A44" t="s">
        <v>3</v>
      </c>
      <c r="B44" t="s">
        <v>340</v>
      </c>
      <c r="C44" t="s">
        <v>341</v>
      </c>
      <c r="D44" t="s">
        <v>346</v>
      </c>
      <c r="E44" t="s">
        <v>413</v>
      </c>
      <c r="F44" s="1">
        <v>2011</v>
      </c>
      <c r="G44" s="1">
        <v>45</v>
      </c>
      <c r="H44" s="1">
        <v>3</v>
      </c>
      <c r="I44" s="25">
        <v>95</v>
      </c>
    </row>
    <row r="45" spans="1:9" x14ac:dyDescent="0.3">
      <c r="A45" t="s">
        <v>3</v>
      </c>
      <c r="B45" t="s">
        <v>340</v>
      </c>
      <c r="C45" t="s">
        <v>341</v>
      </c>
      <c r="D45" t="s">
        <v>346</v>
      </c>
      <c r="E45" t="s">
        <v>418</v>
      </c>
      <c r="F45" s="1">
        <v>2011</v>
      </c>
      <c r="G45" s="1">
        <v>44</v>
      </c>
      <c r="H45" s="1">
        <v>3</v>
      </c>
      <c r="I45" s="25">
        <v>60</v>
      </c>
    </row>
    <row r="46" spans="1:9" x14ac:dyDescent="0.3">
      <c r="A46" t="s">
        <v>3</v>
      </c>
      <c r="B46" t="s">
        <v>340</v>
      </c>
      <c r="C46" t="s">
        <v>341</v>
      </c>
      <c r="D46" t="s">
        <v>346</v>
      </c>
      <c r="E46" t="s">
        <v>406</v>
      </c>
      <c r="F46" s="1">
        <v>2012</v>
      </c>
      <c r="G46" s="1">
        <v>33</v>
      </c>
      <c r="H46" s="1">
        <v>3</v>
      </c>
      <c r="I46" s="25">
        <v>80</v>
      </c>
    </row>
    <row r="47" spans="1:9" x14ac:dyDescent="0.3">
      <c r="A47" t="s">
        <v>3</v>
      </c>
      <c r="B47" t="s">
        <v>340</v>
      </c>
      <c r="C47" t="s">
        <v>341</v>
      </c>
      <c r="D47" t="s">
        <v>346</v>
      </c>
      <c r="E47" t="s">
        <v>385</v>
      </c>
      <c r="F47" s="1">
        <v>2014</v>
      </c>
      <c r="G47" s="1">
        <v>34</v>
      </c>
      <c r="H47" s="1">
        <v>0</v>
      </c>
      <c r="I47" s="25">
        <v>330</v>
      </c>
    </row>
    <row r="48" spans="1:9" x14ac:dyDescent="0.3">
      <c r="A48" t="s">
        <v>3</v>
      </c>
      <c r="B48" t="s">
        <v>340</v>
      </c>
      <c r="C48" t="s">
        <v>341</v>
      </c>
      <c r="D48" t="s">
        <v>346</v>
      </c>
      <c r="E48" t="s">
        <v>414</v>
      </c>
      <c r="F48" s="1">
        <v>2014</v>
      </c>
      <c r="G48" s="1">
        <v>15</v>
      </c>
      <c r="H48" s="1">
        <v>1</v>
      </c>
      <c r="I48" s="25">
        <v>120</v>
      </c>
    </row>
    <row r="49" spans="1:9" x14ac:dyDescent="0.3">
      <c r="A49" t="s">
        <v>3</v>
      </c>
      <c r="B49" t="s">
        <v>340</v>
      </c>
      <c r="C49" t="s">
        <v>341</v>
      </c>
      <c r="D49" t="s">
        <v>346</v>
      </c>
      <c r="E49" t="s">
        <v>416</v>
      </c>
      <c r="F49" s="1">
        <v>2014</v>
      </c>
      <c r="G49" s="1">
        <v>7</v>
      </c>
      <c r="H49" s="1">
        <v>0</v>
      </c>
      <c r="I49" s="25">
        <v>580</v>
      </c>
    </row>
    <row r="50" spans="1:9" x14ac:dyDescent="0.3">
      <c r="A50" t="s">
        <v>3</v>
      </c>
      <c r="B50" t="s">
        <v>340</v>
      </c>
      <c r="C50" t="s">
        <v>341</v>
      </c>
      <c r="D50" t="s">
        <v>346</v>
      </c>
      <c r="E50" t="s">
        <v>404</v>
      </c>
      <c r="F50" s="1">
        <v>2014</v>
      </c>
      <c r="G50" s="1">
        <v>43</v>
      </c>
      <c r="H50" s="1">
        <v>3</v>
      </c>
      <c r="I50" s="25">
        <v>80</v>
      </c>
    </row>
    <row r="51" spans="1:9" x14ac:dyDescent="0.3">
      <c r="A51" t="s">
        <v>3</v>
      </c>
      <c r="B51" t="s">
        <v>340</v>
      </c>
      <c r="C51" t="s">
        <v>341</v>
      </c>
      <c r="D51" t="s">
        <v>346</v>
      </c>
      <c r="E51" t="s">
        <v>404</v>
      </c>
      <c r="F51" s="1">
        <v>2014</v>
      </c>
      <c r="G51" s="1">
        <v>7</v>
      </c>
      <c r="H51" s="1">
        <v>3</v>
      </c>
      <c r="I51" s="25">
        <v>80</v>
      </c>
    </row>
    <row r="52" spans="1:9" x14ac:dyDescent="0.3">
      <c r="A52" t="s">
        <v>3</v>
      </c>
      <c r="B52" t="s">
        <v>340</v>
      </c>
      <c r="C52" t="s">
        <v>341</v>
      </c>
      <c r="D52" t="s">
        <v>346</v>
      </c>
      <c r="E52" t="s">
        <v>387</v>
      </c>
      <c r="F52" s="1">
        <v>2015</v>
      </c>
      <c r="G52" s="1">
        <v>0</v>
      </c>
      <c r="H52" s="1">
        <v>3</v>
      </c>
      <c r="I52" s="25">
        <v>75</v>
      </c>
    </row>
    <row r="53" spans="1:9" x14ac:dyDescent="0.3">
      <c r="A53" t="s">
        <v>3</v>
      </c>
      <c r="B53" t="s">
        <v>340</v>
      </c>
      <c r="C53" t="s">
        <v>341</v>
      </c>
      <c r="D53" t="s">
        <v>346</v>
      </c>
      <c r="E53" t="s">
        <v>387</v>
      </c>
      <c r="F53" s="1">
        <v>2015</v>
      </c>
      <c r="G53" s="1">
        <v>36</v>
      </c>
      <c r="H53" s="1">
        <v>3</v>
      </c>
      <c r="I53" s="25">
        <v>75</v>
      </c>
    </row>
    <row r="54" spans="1:9" x14ac:dyDescent="0.3">
      <c r="A54" t="s">
        <v>3</v>
      </c>
      <c r="B54" t="s">
        <v>340</v>
      </c>
      <c r="C54" t="s">
        <v>341</v>
      </c>
      <c r="D54" t="s">
        <v>346</v>
      </c>
      <c r="E54" t="s">
        <v>417</v>
      </c>
      <c r="F54" s="1">
        <v>2015</v>
      </c>
      <c r="G54" s="1">
        <v>0</v>
      </c>
      <c r="H54" s="1">
        <v>0</v>
      </c>
      <c r="I54" s="25">
        <v>650</v>
      </c>
    </row>
    <row r="55" spans="1:9" x14ac:dyDescent="0.3">
      <c r="A55" t="s">
        <v>3</v>
      </c>
      <c r="B55" t="s">
        <v>340</v>
      </c>
      <c r="C55" t="s">
        <v>341</v>
      </c>
      <c r="D55" t="s">
        <v>346</v>
      </c>
      <c r="E55" t="s">
        <v>403</v>
      </c>
      <c r="F55" s="1">
        <v>2015</v>
      </c>
      <c r="G55" s="1">
        <v>7</v>
      </c>
      <c r="H55" s="1">
        <v>3</v>
      </c>
      <c r="I55" s="25">
        <v>79</v>
      </c>
    </row>
    <row r="56" spans="1:9" x14ac:dyDescent="0.3">
      <c r="A56" t="s">
        <v>3</v>
      </c>
      <c r="B56" t="s">
        <v>340</v>
      </c>
      <c r="C56" t="s">
        <v>341</v>
      </c>
      <c r="D56" t="s">
        <v>346</v>
      </c>
      <c r="E56" t="s">
        <v>405</v>
      </c>
      <c r="F56" s="1">
        <v>2015</v>
      </c>
      <c r="G56" s="1">
        <v>5</v>
      </c>
      <c r="H56" s="1">
        <v>3</v>
      </c>
      <c r="I56" s="25">
        <v>79</v>
      </c>
    </row>
    <row r="57" spans="1:9" x14ac:dyDescent="0.3">
      <c r="A57" t="s">
        <v>3</v>
      </c>
      <c r="B57" t="s">
        <v>334</v>
      </c>
      <c r="C57" t="s">
        <v>335</v>
      </c>
      <c r="D57" t="s">
        <v>346</v>
      </c>
      <c r="E57" t="s">
        <v>377</v>
      </c>
      <c r="F57" s="1">
        <v>2012</v>
      </c>
      <c r="G57" s="1">
        <v>28</v>
      </c>
      <c r="H57" s="1">
        <v>10</v>
      </c>
      <c r="I57" s="25">
        <v>45</v>
      </c>
    </row>
    <row r="58" spans="1:9" x14ac:dyDescent="0.3">
      <c r="A58" t="s">
        <v>3</v>
      </c>
      <c r="B58" t="s">
        <v>334</v>
      </c>
      <c r="C58" t="s">
        <v>335</v>
      </c>
      <c r="D58" t="s">
        <v>346</v>
      </c>
      <c r="E58" t="s">
        <v>366</v>
      </c>
      <c r="F58" s="1">
        <v>2013</v>
      </c>
      <c r="G58" s="1">
        <v>41</v>
      </c>
      <c r="H58" s="1">
        <v>10</v>
      </c>
      <c r="I58" s="25">
        <v>27</v>
      </c>
    </row>
    <row r="59" spans="1:9" x14ac:dyDescent="0.3">
      <c r="A59" t="s">
        <v>3</v>
      </c>
      <c r="B59" t="s">
        <v>334</v>
      </c>
      <c r="C59" t="s">
        <v>335</v>
      </c>
      <c r="D59" t="s">
        <v>346</v>
      </c>
      <c r="E59" t="s">
        <v>366</v>
      </c>
      <c r="F59" s="1">
        <v>2013</v>
      </c>
      <c r="G59" s="1">
        <v>21</v>
      </c>
      <c r="H59" s="1">
        <v>10</v>
      </c>
      <c r="I59" s="25">
        <v>27</v>
      </c>
    </row>
    <row r="60" spans="1:9" x14ac:dyDescent="0.3">
      <c r="A60" t="s">
        <v>3</v>
      </c>
      <c r="B60" t="s">
        <v>334</v>
      </c>
      <c r="C60" t="s">
        <v>335</v>
      </c>
      <c r="D60" t="s">
        <v>346</v>
      </c>
      <c r="E60" t="s">
        <v>362</v>
      </c>
      <c r="F60" s="1">
        <v>2014</v>
      </c>
      <c r="G60" s="1">
        <v>45</v>
      </c>
      <c r="H60" s="1">
        <v>10</v>
      </c>
      <c r="I60" s="25">
        <v>27</v>
      </c>
    </row>
    <row r="61" spans="1:9" x14ac:dyDescent="0.3">
      <c r="A61" t="s">
        <v>3</v>
      </c>
      <c r="B61" t="s">
        <v>334</v>
      </c>
      <c r="C61" t="s">
        <v>335</v>
      </c>
      <c r="D61" t="s">
        <v>336</v>
      </c>
      <c r="E61" t="s">
        <v>426</v>
      </c>
      <c r="F61" s="1">
        <v>2008</v>
      </c>
      <c r="G61" s="1">
        <v>17</v>
      </c>
      <c r="H61" s="1">
        <v>10</v>
      </c>
      <c r="I61" s="25">
        <v>36</v>
      </c>
    </row>
    <row r="62" spans="1:9" x14ac:dyDescent="0.3">
      <c r="A62" t="s">
        <v>3</v>
      </c>
      <c r="B62" t="s">
        <v>334</v>
      </c>
      <c r="C62" t="s">
        <v>335</v>
      </c>
      <c r="D62" t="s">
        <v>336</v>
      </c>
      <c r="E62" t="s">
        <v>374</v>
      </c>
      <c r="F62" s="1">
        <v>2009</v>
      </c>
      <c r="G62" s="1">
        <v>10</v>
      </c>
      <c r="H62" s="1">
        <v>10</v>
      </c>
      <c r="I62" s="25">
        <v>35</v>
      </c>
    </row>
    <row r="63" spans="1:9" x14ac:dyDescent="0.3">
      <c r="A63" t="s">
        <v>3</v>
      </c>
      <c r="B63" t="s">
        <v>334</v>
      </c>
      <c r="C63" t="s">
        <v>335</v>
      </c>
      <c r="D63" t="s">
        <v>336</v>
      </c>
      <c r="E63" t="s">
        <v>409</v>
      </c>
      <c r="F63" s="1">
        <v>2009</v>
      </c>
      <c r="G63" s="1">
        <v>8</v>
      </c>
      <c r="H63" s="1">
        <v>3</v>
      </c>
      <c r="I63" s="25">
        <v>59</v>
      </c>
    </row>
    <row r="64" spans="1:9" x14ac:dyDescent="0.3">
      <c r="A64" t="s">
        <v>3</v>
      </c>
      <c r="B64" t="s">
        <v>334</v>
      </c>
      <c r="C64" t="s">
        <v>335</v>
      </c>
      <c r="D64" t="s">
        <v>336</v>
      </c>
      <c r="E64" t="s">
        <v>337</v>
      </c>
      <c r="F64" s="1">
        <v>2010</v>
      </c>
      <c r="G64" s="1">
        <v>35</v>
      </c>
      <c r="H64" s="1">
        <v>3</v>
      </c>
      <c r="I64" s="25">
        <v>50</v>
      </c>
    </row>
    <row r="65" spans="1:9" x14ac:dyDescent="0.3">
      <c r="A65" t="s">
        <v>3</v>
      </c>
      <c r="B65" t="s">
        <v>334</v>
      </c>
      <c r="C65" t="s">
        <v>335</v>
      </c>
      <c r="D65" t="s">
        <v>336</v>
      </c>
      <c r="E65" t="s">
        <v>371</v>
      </c>
      <c r="F65" s="1">
        <v>2011</v>
      </c>
      <c r="G65" s="1">
        <v>1</v>
      </c>
      <c r="H65" s="1">
        <v>3</v>
      </c>
      <c r="I65" s="25">
        <v>53</v>
      </c>
    </row>
    <row r="66" spans="1:9" x14ac:dyDescent="0.3">
      <c r="A66" t="s">
        <v>3</v>
      </c>
      <c r="B66" t="s">
        <v>334</v>
      </c>
      <c r="C66" t="s">
        <v>335</v>
      </c>
      <c r="D66" t="s">
        <v>336</v>
      </c>
      <c r="E66" t="s">
        <v>407</v>
      </c>
      <c r="F66" s="1">
        <v>2011</v>
      </c>
      <c r="G66" s="1">
        <v>44</v>
      </c>
      <c r="H66" s="1">
        <v>3</v>
      </c>
      <c r="I66" s="25">
        <v>50</v>
      </c>
    </row>
    <row r="67" spans="1:9" x14ac:dyDescent="0.3">
      <c r="A67" t="s">
        <v>3</v>
      </c>
      <c r="B67" t="s">
        <v>334</v>
      </c>
      <c r="C67" t="s">
        <v>335</v>
      </c>
      <c r="D67" t="s">
        <v>336</v>
      </c>
      <c r="E67" t="s">
        <v>390</v>
      </c>
      <c r="F67" s="1">
        <v>2011</v>
      </c>
      <c r="G67" s="1">
        <v>22</v>
      </c>
      <c r="H67" s="1">
        <v>3</v>
      </c>
      <c r="I67" s="25">
        <v>50</v>
      </c>
    </row>
    <row r="68" spans="1:9" x14ac:dyDescent="0.3">
      <c r="A68" t="s">
        <v>3</v>
      </c>
      <c r="B68" t="s">
        <v>334</v>
      </c>
      <c r="C68" t="s">
        <v>335</v>
      </c>
      <c r="D68" t="s">
        <v>336</v>
      </c>
      <c r="E68" t="s">
        <v>356</v>
      </c>
      <c r="F68" s="1">
        <v>2012</v>
      </c>
      <c r="G68" s="1">
        <v>35</v>
      </c>
      <c r="H68" s="1">
        <v>10</v>
      </c>
      <c r="I68" s="25">
        <v>25</v>
      </c>
    </row>
    <row r="69" spans="1:9" x14ac:dyDescent="0.3">
      <c r="A69" t="s">
        <v>3</v>
      </c>
      <c r="B69" t="s">
        <v>334</v>
      </c>
      <c r="C69" t="s">
        <v>335</v>
      </c>
      <c r="D69" t="s">
        <v>336</v>
      </c>
      <c r="E69" t="s">
        <v>338</v>
      </c>
      <c r="F69" s="1">
        <v>2012</v>
      </c>
      <c r="G69" s="1">
        <v>19</v>
      </c>
      <c r="H69" s="1">
        <v>3</v>
      </c>
      <c r="I69" s="25">
        <v>55</v>
      </c>
    </row>
    <row r="70" spans="1:9" x14ac:dyDescent="0.3">
      <c r="A70" t="s">
        <v>3</v>
      </c>
      <c r="B70" t="s">
        <v>334</v>
      </c>
      <c r="C70" t="s">
        <v>335</v>
      </c>
      <c r="D70" t="s">
        <v>336</v>
      </c>
      <c r="E70" t="s">
        <v>377</v>
      </c>
      <c r="F70" s="1">
        <v>2012</v>
      </c>
      <c r="G70" s="1">
        <v>50</v>
      </c>
      <c r="H70" s="1">
        <v>10</v>
      </c>
      <c r="I70" s="25">
        <v>40</v>
      </c>
    </row>
    <row r="71" spans="1:9" x14ac:dyDescent="0.3">
      <c r="A71" t="s">
        <v>3</v>
      </c>
      <c r="B71" t="s">
        <v>334</v>
      </c>
      <c r="C71" t="s">
        <v>335</v>
      </c>
      <c r="D71" t="s">
        <v>336</v>
      </c>
      <c r="E71" t="s">
        <v>363</v>
      </c>
      <c r="F71" s="1">
        <v>2012</v>
      </c>
      <c r="G71" s="1">
        <v>27</v>
      </c>
      <c r="H71" s="1">
        <v>10</v>
      </c>
      <c r="I71" s="25">
        <v>23</v>
      </c>
    </row>
    <row r="72" spans="1:9" x14ac:dyDescent="0.3">
      <c r="A72" t="s">
        <v>3</v>
      </c>
      <c r="B72" t="s">
        <v>334</v>
      </c>
      <c r="C72" t="s">
        <v>335</v>
      </c>
      <c r="D72" t="s">
        <v>336</v>
      </c>
      <c r="E72" t="s">
        <v>408</v>
      </c>
      <c r="F72" s="1">
        <v>2012</v>
      </c>
      <c r="G72" s="1">
        <v>37</v>
      </c>
      <c r="H72" s="1">
        <v>3</v>
      </c>
      <c r="I72" s="25">
        <v>50</v>
      </c>
    </row>
    <row r="73" spans="1:9" x14ac:dyDescent="0.3">
      <c r="A73" t="s">
        <v>3</v>
      </c>
      <c r="B73" t="s">
        <v>334</v>
      </c>
      <c r="C73" t="s">
        <v>335</v>
      </c>
      <c r="D73" t="s">
        <v>336</v>
      </c>
      <c r="E73" t="s">
        <v>373</v>
      </c>
      <c r="F73" s="1">
        <v>2013</v>
      </c>
      <c r="G73" s="1">
        <v>3</v>
      </c>
      <c r="H73" s="1">
        <v>3</v>
      </c>
      <c r="I73" s="25">
        <v>65</v>
      </c>
    </row>
    <row r="74" spans="1:9" x14ac:dyDescent="0.3">
      <c r="A74" t="s">
        <v>3</v>
      </c>
      <c r="B74" t="s">
        <v>334</v>
      </c>
      <c r="C74" t="s">
        <v>335</v>
      </c>
      <c r="D74" t="s">
        <v>336</v>
      </c>
      <c r="E74" t="s">
        <v>376</v>
      </c>
      <c r="F74" s="1">
        <v>2013</v>
      </c>
      <c r="G74" s="1">
        <v>22</v>
      </c>
      <c r="H74" s="1">
        <v>10</v>
      </c>
      <c r="I74" s="25">
        <v>40</v>
      </c>
    </row>
    <row r="75" spans="1:9" x14ac:dyDescent="0.3">
      <c r="A75" t="s">
        <v>3</v>
      </c>
      <c r="B75" t="s">
        <v>334</v>
      </c>
      <c r="C75" t="s">
        <v>335</v>
      </c>
      <c r="D75" t="s">
        <v>336</v>
      </c>
      <c r="E75" t="s">
        <v>366</v>
      </c>
      <c r="F75" s="1">
        <v>2013</v>
      </c>
      <c r="G75" s="1">
        <v>41</v>
      </c>
      <c r="H75" s="1">
        <v>10</v>
      </c>
      <c r="I75" s="25">
        <v>25</v>
      </c>
    </row>
    <row r="76" spans="1:9" x14ac:dyDescent="0.3">
      <c r="A76" t="s">
        <v>3</v>
      </c>
      <c r="B76" t="s">
        <v>334</v>
      </c>
      <c r="C76" t="s">
        <v>335</v>
      </c>
      <c r="D76" t="s">
        <v>336</v>
      </c>
      <c r="E76" t="s">
        <v>372</v>
      </c>
      <c r="F76" s="1">
        <v>2014</v>
      </c>
      <c r="G76" s="1">
        <v>8</v>
      </c>
      <c r="H76" s="1">
        <v>3</v>
      </c>
      <c r="I76" s="25">
        <v>65</v>
      </c>
    </row>
    <row r="77" spans="1:9" x14ac:dyDescent="0.3">
      <c r="A77" t="s">
        <v>3</v>
      </c>
      <c r="B77" t="s">
        <v>334</v>
      </c>
      <c r="C77" t="s">
        <v>335</v>
      </c>
      <c r="D77" t="s">
        <v>336</v>
      </c>
      <c r="E77" t="s">
        <v>389</v>
      </c>
      <c r="F77" s="1">
        <v>2014</v>
      </c>
      <c r="G77" s="1">
        <v>39</v>
      </c>
      <c r="H77" s="1">
        <v>15</v>
      </c>
      <c r="I77" s="25">
        <v>18</v>
      </c>
    </row>
    <row r="78" spans="1:9" x14ac:dyDescent="0.3">
      <c r="A78" t="s">
        <v>3</v>
      </c>
      <c r="B78" t="s">
        <v>334</v>
      </c>
      <c r="C78" t="s">
        <v>335</v>
      </c>
      <c r="D78" t="s">
        <v>336</v>
      </c>
      <c r="E78" t="s">
        <v>339</v>
      </c>
      <c r="F78" s="1">
        <v>2014</v>
      </c>
      <c r="G78" s="1">
        <v>30</v>
      </c>
      <c r="H78" s="1">
        <v>3</v>
      </c>
      <c r="I78" s="25">
        <v>60</v>
      </c>
    </row>
    <row r="79" spans="1:9" x14ac:dyDescent="0.3">
      <c r="A79" t="s">
        <v>3</v>
      </c>
      <c r="B79" t="s">
        <v>334</v>
      </c>
      <c r="C79" t="s">
        <v>335</v>
      </c>
      <c r="D79" t="s">
        <v>336</v>
      </c>
      <c r="E79" t="s">
        <v>375</v>
      </c>
      <c r="F79" s="1">
        <v>2014</v>
      </c>
      <c r="G79" s="1">
        <v>11</v>
      </c>
      <c r="H79" s="1">
        <v>10</v>
      </c>
      <c r="I79" s="25">
        <v>40</v>
      </c>
    </row>
    <row r="80" spans="1:9" x14ac:dyDescent="0.3">
      <c r="A80" t="s">
        <v>3</v>
      </c>
      <c r="B80" t="s">
        <v>334</v>
      </c>
      <c r="C80" t="s">
        <v>335</v>
      </c>
      <c r="D80" t="s">
        <v>336</v>
      </c>
      <c r="E80" t="s">
        <v>362</v>
      </c>
      <c r="F80" s="1">
        <v>2014</v>
      </c>
      <c r="G80" s="1">
        <v>7</v>
      </c>
      <c r="H80" s="1">
        <v>10</v>
      </c>
      <c r="I80" s="25">
        <v>23</v>
      </c>
    </row>
    <row r="81" spans="1:9" x14ac:dyDescent="0.3">
      <c r="A81" t="s">
        <v>3</v>
      </c>
      <c r="B81" t="s">
        <v>334</v>
      </c>
      <c r="C81" t="s">
        <v>335</v>
      </c>
      <c r="D81" t="s">
        <v>336</v>
      </c>
      <c r="E81" t="s">
        <v>357</v>
      </c>
      <c r="F81" s="1">
        <v>2015</v>
      </c>
      <c r="G81" s="1">
        <v>14</v>
      </c>
      <c r="H81" s="1">
        <v>10</v>
      </c>
      <c r="I81" s="25">
        <v>25</v>
      </c>
    </row>
    <row r="82" spans="1:9" x14ac:dyDescent="0.3">
      <c r="A82" t="s">
        <v>3</v>
      </c>
      <c r="B82" t="s">
        <v>334</v>
      </c>
      <c r="C82" t="s">
        <v>335</v>
      </c>
      <c r="D82" t="s">
        <v>336</v>
      </c>
      <c r="E82" t="s">
        <v>388</v>
      </c>
      <c r="F82" s="1">
        <v>2015</v>
      </c>
      <c r="G82" s="1">
        <v>25</v>
      </c>
      <c r="H82" s="1">
        <v>15</v>
      </c>
      <c r="I82" s="25">
        <v>18</v>
      </c>
    </row>
    <row r="83" spans="1:9" x14ac:dyDescent="0.3">
      <c r="A83" t="s">
        <v>3</v>
      </c>
      <c r="B83" t="s">
        <v>334</v>
      </c>
      <c r="C83" t="s">
        <v>335</v>
      </c>
      <c r="D83" t="s">
        <v>336</v>
      </c>
      <c r="E83" t="s">
        <v>364</v>
      </c>
      <c r="F83" s="1">
        <v>2015</v>
      </c>
      <c r="G83" s="1">
        <v>28</v>
      </c>
      <c r="H83" s="1">
        <v>10</v>
      </c>
      <c r="I83" s="25">
        <v>25</v>
      </c>
    </row>
    <row r="84" spans="1:9" x14ac:dyDescent="0.3">
      <c r="A84" t="s">
        <v>3</v>
      </c>
      <c r="B84" t="s">
        <v>334</v>
      </c>
      <c r="C84" t="s">
        <v>335</v>
      </c>
      <c r="D84" t="s">
        <v>336</v>
      </c>
      <c r="E84" t="s">
        <v>365</v>
      </c>
      <c r="F84" s="1">
        <v>2016</v>
      </c>
      <c r="G84" s="1">
        <v>30</v>
      </c>
      <c r="H84" s="1">
        <v>10</v>
      </c>
      <c r="I84" s="25">
        <v>25</v>
      </c>
    </row>
    <row r="85" spans="1:9" x14ac:dyDescent="0.3">
      <c r="A85" t="s">
        <v>327</v>
      </c>
      <c r="B85" t="s">
        <v>135</v>
      </c>
      <c r="C85" t="s">
        <v>328</v>
      </c>
      <c r="D85" t="s">
        <v>329</v>
      </c>
      <c r="E85" t="s">
        <v>421</v>
      </c>
      <c r="F85" s="1">
        <v>2011</v>
      </c>
      <c r="G85" s="1">
        <v>10</v>
      </c>
      <c r="H85" s="1">
        <v>3</v>
      </c>
      <c r="I85" s="25">
        <v>60</v>
      </c>
    </row>
    <row r="86" spans="1:9" x14ac:dyDescent="0.3">
      <c r="A86" t="s">
        <v>327</v>
      </c>
      <c r="B86" t="s">
        <v>135</v>
      </c>
      <c r="C86" t="s">
        <v>328</v>
      </c>
      <c r="D86" t="s">
        <v>329</v>
      </c>
      <c r="E86" t="s">
        <v>421</v>
      </c>
      <c r="F86" s="1">
        <v>2011</v>
      </c>
      <c r="G86" s="1">
        <v>0</v>
      </c>
      <c r="H86" s="1">
        <v>3</v>
      </c>
      <c r="I86" s="25">
        <v>60</v>
      </c>
    </row>
    <row r="87" spans="1:9" x14ac:dyDescent="0.3">
      <c r="A87" t="s">
        <v>327</v>
      </c>
      <c r="B87" t="s">
        <v>135</v>
      </c>
      <c r="C87" t="s">
        <v>328</v>
      </c>
      <c r="D87" t="s">
        <v>329</v>
      </c>
      <c r="E87" t="s">
        <v>355</v>
      </c>
      <c r="F87" s="1">
        <v>2011</v>
      </c>
      <c r="G87" s="1">
        <v>41</v>
      </c>
      <c r="H87" s="1">
        <v>10</v>
      </c>
      <c r="I87" s="25">
        <v>45</v>
      </c>
    </row>
    <row r="88" spans="1:9" x14ac:dyDescent="0.3">
      <c r="A88" t="s">
        <v>327</v>
      </c>
      <c r="B88" t="s">
        <v>135</v>
      </c>
      <c r="C88" t="s">
        <v>328</v>
      </c>
      <c r="D88" t="s">
        <v>329</v>
      </c>
      <c r="E88" t="s">
        <v>424</v>
      </c>
      <c r="F88" s="1">
        <v>2012</v>
      </c>
      <c r="G88" s="1">
        <v>5</v>
      </c>
      <c r="H88" s="1">
        <v>3</v>
      </c>
      <c r="I88" s="25">
        <v>60</v>
      </c>
    </row>
    <row r="89" spans="1:9" x14ac:dyDescent="0.3">
      <c r="A89" t="s">
        <v>327</v>
      </c>
      <c r="B89" t="s">
        <v>135</v>
      </c>
      <c r="C89" t="s">
        <v>328</v>
      </c>
      <c r="D89" t="s">
        <v>329</v>
      </c>
      <c r="E89" t="s">
        <v>331</v>
      </c>
      <c r="F89" s="1">
        <v>2012</v>
      </c>
      <c r="G89" s="1">
        <v>28</v>
      </c>
      <c r="H89" s="1">
        <v>10</v>
      </c>
      <c r="I89" s="25">
        <v>25</v>
      </c>
    </row>
    <row r="90" spans="1:9" x14ac:dyDescent="0.3">
      <c r="A90" t="s">
        <v>327</v>
      </c>
      <c r="B90" t="s">
        <v>135</v>
      </c>
      <c r="C90" t="s">
        <v>328</v>
      </c>
      <c r="D90" t="s">
        <v>329</v>
      </c>
      <c r="E90" t="s">
        <v>352</v>
      </c>
      <c r="F90" s="1">
        <v>2012</v>
      </c>
      <c r="G90" s="1">
        <v>17</v>
      </c>
      <c r="H90" s="1">
        <v>10</v>
      </c>
      <c r="I90" s="25">
        <v>45</v>
      </c>
    </row>
    <row r="91" spans="1:9" x14ac:dyDescent="0.3">
      <c r="A91" t="s">
        <v>327</v>
      </c>
      <c r="B91" t="s">
        <v>135</v>
      </c>
      <c r="C91" t="s">
        <v>328</v>
      </c>
      <c r="D91" t="s">
        <v>329</v>
      </c>
      <c r="E91" t="s">
        <v>422</v>
      </c>
      <c r="F91" s="1">
        <v>2013</v>
      </c>
      <c r="G91" s="1">
        <v>30</v>
      </c>
      <c r="H91" s="1">
        <v>3</v>
      </c>
      <c r="I91" s="25">
        <v>60</v>
      </c>
    </row>
    <row r="92" spans="1:9" x14ac:dyDescent="0.3">
      <c r="A92" t="s">
        <v>327</v>
      </c>
      <c r="B92" t="s">
        <v>135</v>
      </c>
      <c r="C92" t="s">
        <v>328</v>
      </c>
      <c r="D92" t="s">
        <v>329</v>
      </c>
      <c r="E92" t="s">
        <v>344</v>
      </c>
      <c r="F92" s="1">
        <v>2013</v>
      </c>
      <c r="G92" s="1">
        <v>21</v>
      </c>
      <c r="H92" s="1">
        <v>10</v>
      </c>
      <c r="I92" s="25">
        <v>45</v>
      </c>
    </row>
    <row r="93" spans="1:9" x14ac:dyDescent="0.3">
      <c r="A93" t="s">
        <v>327</v>
      </c>
      <c r="B93" t="s">
        <v>135</v>
      </c>
      <c r="C93" t="s">
        <v>328</v>
      </c>
      <c r="D93" t="s">
        <v>329</v>
      </c>
      <c r="E93" t="s">
        <v>330</v>
      </c>
      <c r="F93" s="1">
        <v>2013</v>
      </c>
      <c r="G93" s="1">
        <v>47</v>
      </c>
      <c r="H93" s="1">
        <v>10</v>
      </c>
      <c r="I93" s="25">
        <v>25</v>
      </c>
    </row>
    <row r="94" spans="1:9" x14ac:dyDescent="0.3">
      <c r="A94" t="s">
        <v>327</v>
      </c>
      <c r="B94" t="s">
        <v>135</v>
      </c>
      <c r="C94" t="s">
        <v>328</v>
      </c>
      <c r="D94" t="s">
        <v>329</v>
      </c>
      <c r="E94" t="s">
        <v>354</v>
      </c>
      <c r="F94" s="1">
        <v>2013</v>
      </c>
      <c r="G94" s="1">
        <v>27</v>
      </c>
      <c r="H94" s="1">
        <v>10</v>
      </c>
      <c r="I94" s="25">
        <v>45</v>
      </c>
    </row>
    <row r="95" spans="1:9" x14ac:dyDescent="0.3">
      <c r="A95" t="s">
        <v>327</v>
      </c>
      <c r="B95" t="s">
        <v>135</v>
      </c>
      <c r="C95" t="s">
        <v>328</v>
      </c>
      <c r="D95" t="s">
        <v>329</v>
      </c>
      <c r="E95" t="s">
        <v>423</v>
      </c>
      <c r="F95" s="1">
        <v>2014</v>
      </c>
      <c r="G95" s="1">
        <v>36</v>
      </c>
      <c r="H95" s="1">
        <v>3</v>
      </c>
      <c r="I95" s="25">
        <v>60</v>
      </c>
    </row>
    <row r="96" spans="1:9" x14ac:dyDescent="0.3">
      <c r="A96" t="s">
        <v>327</v>
      </c>
      <c r="B96" t="s">
        <v>135</v>
      </c>
      <c r="C96" t="s">
        <v>328</v>
      </c>
      <c r="D96" t="s">
        <v>329</v>
      </c>
      <c r="E96" t="s">
        <v>333</v>
      </c>
      <c r="F96" s="1">
        <v>2014</v>
      </c>
      <c r="G96" s="1">
        <v>24</v>
      </c>
      <c r="H96" s="1">
        <v>10</v>
      </c>
      <c r="I96" s="25">
        <v>28</v>
      </c>
    </row>
    <row r="97" spans="1:9" x14ac:dyDescent="0.3">
      <c r="A97" t="s">
        <v>327</v>
      </c>
      <c r="B97" t="s">
        <v>135</v>
      </c>
      <c r="C97" t="s">
        <v>328</v>
      </c>
      <c r="D97" t="s">
        <v>329</v>
      </c>
      <c r="E97" t="s">
        <v>353</v>
      </c>
      <c r="F97" s="1">
        <v>2014</v>
      </c>
      <c r="G97" s="1">
        <v>35</v>
      </c>
      <c r="H97" s="1">
        <v>10</v>
      </c>
      <c r="I97" s="25">
        <v>45</v>
      </c>
    </row>
    <row r="98" spans="1:9" x14ac:dyDescent="0.3">
      <c r="A98" t="s">
        <v>327</v>
      </c>
      <c r="B98" t="s">
        <v>135</v>
      </c>
      <c r="C98" t="s">
        <v>328</v>
      </c>
      <c r="D98" t="s">
        <v>329</v>
      </c>
      <c r="E98" t="s">
        <v>353</v>
      </c>
      <c r="F98" s="1">
        <v>2014</v>
      </c>
      <c r="G98" s="1">
        <v>1</v>
      </c>
      <c r="H98" s="1">
        <v>10</v>
      </c>
      <c r="I98" s="25">
        <v>45</v>
      </c>
    </row>
    <row r="99" spans="1:9" x14ac:dyDescent="0.3">
      <c r="A99" t="s">
        <v>327</v>
      </c>
      <c r="B99" t="s">
        <v>135</v>
      </c>
      <c r="C99" t="s">
        <v>328</v>
      </c>
      <c r="D99" t="s">
        <v>329</v>
      </c>
      <c r="E99" t="s">
        <v>332</v>
      </c>
      <c r="F99" s="1">
        <v>2015</v>
      </c>
      <c r="G99" s="1">
        <v>44</v>
      </c>
      <c r="H99" s="1">
        <v>10</v>
      </c>
      <c r="I99" s="25">
        <v>28</v>
      </c>
    </row>
    <row r="100" spans="1:9" x14ac:dyDescent="0.3">
      <c r="A100" t="s">
        <v>327</v>
      </c>
      <c r="B100" t="s">
        <v>135</v>
      </c>
      <c r="C100" t="s">
        <v>427</v>
      </c>
      <c r="D100" t="s">
        <v>428</v>
      </c>
      <c r="E100" t="s">
        <v>429</v>
      </c>
      <c r="F100" s="1">
        <v>2013</v>
      </c>
      <c r="G100" s="1">
        <v>16</v>
      </c>
      <c r="H100" s="1">
        <v>15</v>
      </c>
      <c r="I100" s="25">
        <v>15</v>
      </c>
    </row>
    <row r="101" spans="1:9" x14ac:dyDescent="0.3">
      <c r="A101" t="s">
        <v>327</v>
      </c>
      <c r="B101" t="s">
        <v>135</v>
      </c>
      <c r="C101" t="s">
        <v>427</v>
      </c>
      <c r="D101" t="s">
        <v>428</v>
      </c>
      <c r="E101" t="s">
        <v>430</v>
      </c>
      <c r="F101" s="1">
        <v>2014</v>
      </c>
      <c r="G101" s="1">
        <v>25</v>
      </c>
      <c r="H101" s="1">
        <v>15</v>
      </c>
      <c r="I101" s="25">
        <v>15</v>
      </c>
    </row>
  </sheetData>
  <conditionalFormatting sqref="A2">
    <cfRule type="expression" dxfId="4" priority="2">
      <formula>" =$G2 &lt;=$H2"</formula>
    </cfRule>
    <cfRule type="expression" dxfId="3" priority="3">
      <formula>" =$G2 &lt;=$H2"</formula>
    </cfRule>
    <cfRule type="expression" dxfId="2" priority="4">
      <formula>" =$G2 &lt;=$H2"</formula>
    </cfRule>
    <cfRule type="expression" dxfId="1" priority="5">
      <formula>" =$G2 &lt;=$H2"</formula>
    </cfRule>
  </conditionalFormatting>
  <conditionalFormatting sqref="A1:I101">
    <cfRule type="expression" dxfId="0" priority="1">
      <formula>$G1 &lt;=$H1</formula>
    </cfRule>
  </conditionalFormatting>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D6800D-CDBC-4C67-8FD0-509CE997BD3D}">
  <sheetPr codeName="Sheet16">
    <tabColor theme="6" tint="0.59999389629810485"/>
  </sheetPr>
  <dimension ref="A1:B5"/>
  <sheetViews>
    <sheetView workbookViewId="0">
      <selection activeCell="B6" sqref="B6"/>
    </sheetView>
  </sheetViews>
  <sheetFormatPr defaultRowHeight="14.4" x14ac:dyDescent="0.3"/>
  <cols>
    <col min="1" max="1" width="28.88671875" bestFit="1" customWidth="1"/>
    <col min="2" max="2" width="11.44140625" customWidth="1"/>
  </cols>
  <sheetData>
    <row r="1" spans="1:2" x14ac:dyDescent="0.3">
      <c r="A1" s="47" t="s">
        <v>431</v>
      </c>
      <c r="B1" s="47"/>
    </row>
    <row r="2" spans="1:2" x14ac:dyDescent="0.3">
      <c r="A2" s="4" t="s">
        <v>435</v>
      </c>
      <c r="B2" s="27" t="s">
        <v>436</v>
      </c>
    </row>
    <row r="3" spans="1:2" x14ac:dyDescent="0.3">
      <c r="A3" s="4" t="s">
        <v>432</v>
      </c>
      <c r="B3" s="26">
        <v>44149</v>
      </c>
    </row>
    <row r="4" spans="1:2" x14ac:dyDescent="0.3">
      <c r="A4" s="7" t="s">
        <v>433</v>
      </c>
      <c r="B4" s="8">
        <v>12</v>
      </c>
    </row>
    <row r="5" spans="1:2" x14ac:dyDescent="0.3">
      <c r="A5" s="9" t="s">
        <v>434</v>
      </c>
      <c r="B5" s="28">
        <f>WORKDAY(B3,B4)</f>
        <v>44166</v>
      </c>
    </row>
  </sheetData>
  <mergeCells count="1">
    <mergeCell ref="A1:B1"/>
  </mergeCell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797CA5-3978-47E0-9BE9-7BF73605D03B}">
  <sheetPr codeName="Sheet17">
    <tabColor theme="8" tint="-0.249977111117893"/>
  </sheetPr>
  <dimension ref="A1"/>
  <sheetViews>
    <sheetView showGridLines="0" workbookViewId="0"/>
  </sheetViews>
  <sheetFormatPr defaultRowHeight="14.4" x14ac:dyDescent="0.3"/>
  <cols>
    <col min="1" max="1" width="2.88671875" customWidth="1"/>
  </cols>
  <sheetData/>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9CBC98-8499-4B83-BB96-FF226E78403D}">
  <sheetPr codeName="Sheet18">
    <tabColor theme="8" tint="0.59999389629810485"/>
  </sheetPr>
  <dimension ref="A1:G89"/>
  <sheetViews>
    <sheetView workbookViewId="0">
      <selection activeCell="J18" sqref="J18"/>
    </sheetView>
  </sheetViews>
  <sheetFormatPr defaultRowHeight="14.4" outlineLevelRow="2" x14ac:dyDescent="0.3"/>
  <cols>
    <col min="1" max="1" width="14.6640625" style="1" bestFit="1" customWidth="1"/>
    <col min="2" max="2" width="18.5546875" bestFit="1" customWidth="1"/>
    <col min="3" max="3" width="20.88671875" bestFit="1" customWidth="1"/>
    <col min="4" max="4" width="23" bestFit="1" customWidth="1"/>
    <col min="5" max="5" width="29.109375" bestFit="1" customWidth="1"/>
    <col min="6" max="6" width="14.5546875" bestFit="1" customWidth="1"/>
    <col min="7" max="7" width="15" bestFit="1" customWidth="1"/>
  </cols>
  <sheetData>
    <row r="1" spans="1:7" x14ac:dyDescent="0.3">
      <c r="A1" s="29" t="s">
        <v>17</v>
      </c>
      <c r="B1" s="29" t="s">
        <v>561</v>
      </c>
      <c r="C1" s="29" t="s">
        <v>562</v>
      </c>
      <c r="D1" s="29" t="s">
        <v>563</v>
      </c>
      <c r="E1" s="29" t="s">
        <v>18</v>
      </c>
      <c r="F1" s="29" t="s">
        <v>564</v>
      </c>
      <c r="G1" s="29" t="s">
        <v>565</v>
      </c>
    </row>
    <row r="2" spans="1:7" outlineLevel="2" x14ac:dyDescent="0.3">
      <c r="A2" s="1">
        <v>1</v>
      </c>
      <c r="B2" t="s">
        <v>440</v>
      </c>
      <c r="C2" t="s">
        <v>441</v>
      </c>
      <c r="D2" t="s">
        <v>442</v>
      </c>
      <c r="E2" t="s">
        <v>443</v>
      </c>
      <c r="F2" s="22">
        <v>1289</v>
      </c>
      <c r="G2" s="6">
        <v>23202</v>
      </c>
    </row>
    <row r="3" spans="1:7" outlineLevel="2" x14ac:dyDescent="0.3">
      <c r="A3" s="1">
        <v>2</v>
      </c>
      <c r="B3" t="s">
        <v>440</v>
      </c>
      <c r="C3" t="s">
        <v>441</v>
      </c>
      <c r="D3" t="s">
        <v>444</v>
      </c>
      <c r="E3" t="s">
        <v>445</v>
      </c>
      <c r="F3" s="22">
        <v>1186</v>
      </c>
      <c r="G3" s="6">
        <v>21348</v>
      </c>
    </row>
    <row r="4" spans="1:7" outlineLevel="2" x14ac:dyDescent="0.3">
      <c r="A4" s="1">
        <v>3</v>
      </c>
      <c r="B4" t="s">
        <v>440</v>
      </c>
      <c r="C4" t="s">
        <v>441</v>
      </c>
      <c r="D4" t="s">
        <v>446</v>
      </c>
      <c r="E4" t="s">
        <v>447</v>
      </c>
      <c r="F4" s="22">
        <v>988</v>
      </c>
      <c r="G4" s="6">
        <v>14573</v>
      </c>
    </row>
    <row r="5" spans="1:7" outlineLevel="2" x14ac:dyDescent="0.3">
      <c r="A5" s="1">
        <v>4</v>
      </c>
      <c r="B5" t="s">
        <v>440</v>
      </c>
      <c r="C5" t="s">
        <v>441</v>
      </c>
      <c r="D5" t="s">
        <v>446</v>
      </c>
      <c r="E5" t="s">
        <v>448</v>
      </c>
      <c r="F5" s="22">
        <v>891</v>
      </c>
      <c r="G5" s="6">
        <v>18220.95</v>
      </c>
    </row>
    <row r="6" spans="1:7" outlineLevel="2" x14ac:dyDescent="0.3">
      <c r="A6" s="1">
        <v>5</v>
      </c>
      <c r="B6" t="s">
        <v>440</v>
      </c>
      <c r="C6" t="s">
        <v>441</v>
      </c>
      <c r="D6" t="s">
        <v>449</v>
      </c>
      <c r="E6" t="s">
        <v>450</v>
      </c>
      <c r="F6" s="22">
        <v>908</v>
      </c>
      <c r="G6" s="6">
        <v>13620</v>
      </c>
    </row>
    <row r="7" spans="1:7" outlineLevel="2" x14ac:dyDescent="0.3">
      <c r="A7" s="1">
        <v>6</v>
      </c>
      <c r="B7" t="s">
        <v>440</v>
      </c>
      <c r="C7" t="s">
        <v>441</v>
      </c>
      <c r="D7" t="s">
        <v>449</v>
      </c>
      <c r="E7" t="s">
        <v>202</v>
      </c>
      <c r="F7" s="22">
        <v>1326</v>
      </c>
      <c r="G7" s="6">
        <v>27846</v>
      </c>
    </row>
    <row r="8" spans="1:7" outlineLevel="2" x14ac:dyDescent="0.3">
      <c r="A8" s="1">
        <v>7</v>
      </c>
      <c r="B8" t="s">
        <v>440</v>
      </c>
      <c r="C8" t="s">
        <v>441</v>
      </c>
      <c r="D8" t="s">
        <v>451</v>
      </c>
      <c r="E8" t="s">
        <v>452</v>
      </c>
      <c r="F8" s="22">
        <v>926</v>
      </c>
      <c r="G8" s="6">
        <v>18288.5</v>
      </c>
    </row>
    <row r="9" spans="1:7" outlineLevel="2" x14ac:dyDescent="0.3">
      <c r="A9" s="1">
        <v>8</v>
      </c>
      <c r="B9" t="s">
        <v>440</v>
      </c>
      <c r="C9" t="s">
        <v>441</v>
      </c>
      <c r="D9" t="s">
        <v>451</v>
      </c>
      <c r="E9" t="s">
        <v>453</v>
      </c>
      <c r="F9" s="22">
        <v>1479</v>
      </c>
      <c r="G9" s="6">
        <v>66555</v>
      </c>
    </row>
    <row r="10" spans="1:7" outlineLevel="2" x14ac:dyDescent="0.3">
      <c r="A10" s="1">
        <v>9</v>
      </c>
      <c r="B10" t="s">
        <v>440</v>
      </c>
      <c r="C10" t="s">
        <v>441</v>
      </c>
      <c r="D10" t="s">
        <v>442</v>
      </c>
      <c r="E10" t="s">
        <v>454</v>
      </c>
      <c r="F10" s="22">
        <v>1233</v>
      </c>
      <c r="G10" s="6">
        <v>27742.5</v>
      </c>
    </row>
    <row r="11" spans="1:7" outlineLevel="2" x14ac:dyDescent="0.3">
      <c r="A11" s="1">
        <v>10</v>
      </c>
      <c r="B11" t="s">
        <v>440</v>
      </c>
      <c r="C11" t="s">
        <v>441</v>
      </c>
      <c r="D11" t="s">
        <v>455</v>
      </c>
      <c r="E11" t="s">
        <v>456</v>
      </c>
      <c r="F11" s="22">
        <v>869</v>
      </c>
      <c r="G11" s="6">
        <v>8690</v>
      </c>
    </row>
    <row r="12" spans="1:7" outlineLevel="2" x14ac:dyDescent="0.3">
      <c r="A12" s="1">
        <v>11</v>
      </c>
      <c r="B12" t="s">
        <v>440</v>
      </c>
      <c r="C12" t="s">
        <v>457</v>
      </c>
      <c r="D12" t="s">
        <v>458</v>
      </c>
      <c r="E12" t="s">
        <v>459</v>
      </c>
      <c r="F12" s="22">
        <v>981</v>
      </c>
      <c r="G12" s="6">
        <v>8779.9499999999989</v>
      </c>
    </row>
    <row r="13" spans="1:7" outlineLevel="2" x14ac:dyDescent="0.3">
      <c r="A13" s="1">
        <v>12</v>
      </c>
      <c r="B13" t="s">
        <v>440</v>
      </c>
      <c r="C13" t="s">
        <v>457</v>
      </c>
      <c r="D13" t="s">
        <v>458</v>
      </c>
      <c r="E13" t="s">
        <v>460</v>
      </c>
      <c r="F13" s="22">
        <v>861</v>
      </c>
      <c r="G13" s="6">
        <v>7705.95</v>
      </c>
    </row>
    <row r="14" spans="1:7" outlineLevel="2" x14ac:dyDescent="0.3">
      <c r="A14" s="1">
        <v>13</v>
      </c>
      <c r="B14" t="s">
        <v>440</v>
      </c>
      <c r="C14" t="s">
        <v>457</v>
      </c>
      <c r="D14" t="s">
        <v>461</v>
      </c>
      <c r="E14" t="s">
        <v>462</v>
      </c>
      <c r="F14" s="22">
        <v>1000</v>
      </c>
      <c r="G14" s="6">
        <v>8950</v>
      </c>
    </row>
    <row r="15" spans="1:7" outlineLevel="2" x14ac:dyDescent="0.3">
      <c r="A15" s="1">
        <v>14</v>
      </c>
      <c r="B15" t="s">
        <v>440</v>
      </c>
      <c r="C15" t="s">
        <v>457</v>
      </c>
      <c r="D15" t="s">
        <v>461</v>
      </c>
      <c r="E15" t="s">
        <v>463</v>
      </c>
      <c r="F15" s="22">
        <v>864</v>
      </c>
      <c r="G15" s="6">
        <v>7732.7999999999993</v>
      </c>
    </row>
    <row r="16" spans="1:7" outlineLevel="2" x14ac:dyDescent="0.3">
      <c r="A16" s="1">
        <v>15</v>
      </c>
      <c r="B16" t="s">
        <v>440</v>
      </c>
      <c r="C16" t="s">
        <v>457</v>
      </c>
      <c r="D16" t="s">
        <v>464</v>
      </c>
      <c r="E16" t="s">
        <v>465</v>
      </c>
      <c r="F16" s="22">
        <v>908</v>
      </c>
      <c r="G16" s="6">
        <v>8399</v>
      </c>
    </row>
    <row r="17" spans="1:7" outlineLevel="2" x14ac:dyDescent="0.3">
      <c r="A17" s="1">
        <v>16</v>
      </c>
      <c r="B17" t="s">
        <v>440</v>
      </c>
      <c r="C17" t="s">
        <v>457</v>
      </c>
      <c r="D17" t="s">
        <v>466</v>
      </c>
      <c r="E17" t="s">
        <v>467</v>
      </c>
      <c r="F17" s="22">
        <v>938</v>
      </c>
      <c r="G17" s="6">
        <v>8395.0999999999985</v>
      </c>
    </row>
    <row r="18" spans="1:7" outlineLevel="2" x14ac:dyDescent="0.3">
      <c r="A18" s="1">
        <v>17</v>
      </c>
      <c r="B18" t="s">
        <v>440</v>
      </c>
      <c r="C18" t="s">
        <v>457</v>
      </c>
      <c r="D18" t="s">
        <v>466</v>
      </c>
      <c r="E18" t="s">
        <v>468</v>
      </c>
      <c r="F18" s="22">
        <v>1061</v>
      </c>
      <c r="G18" s="6">
        <v>10079.5</v>
      </c>
    </row>
    <row r="19" spans="1:7" outlineLevel="2" x14ac:dyDescent="0.3">
      <c r="A19" s="1">
        <v>18</v>
      </c>
      <c r="B19" t="s">
        <v>440</v>
      </c>
      <c r="C19" t="s">
        <v>457</v>
      </c>
      <c r="D19" t="s">
        <v>466</v>
      </c>
      <c r="E19" t="s">
        <v>469</v>
      </c>
      <c r="F19" s="22">
        <v>768</v>
      </c>
      <c r="G19" s="6">
        <v>8409.5999999999985</v>
      </c>
    </row>
    <row r="20" spans="1:7" outlineLevel="2" x14ac:dyDescent="0.3">
      <c r="A20" s="1">
        <v>19</v>
      </c>
      <c r="B20" t="s">
        <v>440</v>
      </c>
      <c r="C20" t="s">
        <v>470</v>
      </c>
      <c r="D20" t="s">
        <v>471</v>
      </c>
      <c r="E20" t="s">
        <v>472</v>
      </c>
      <c r="F20" s="22">
        <v>672</v>
      </c>
      <c r="G20" s="6">
        <v>4300.8</v>
      </c>
    </row>
    <row r="21" spans="1:7" outlineLevel="2" x14ac:dyDescent="0.3">
      <c r="A21" s="1">
        <v>20</v>
      </c>
      <c r="B21" t="s">
        <v>440</v>
      </c>
      <c r="C21" t="s">
        <v>470</v>
      </c>
      <c r="D21" t="s">
        <v>473</v>
      </c>
      <c r="E21" t="s">
        <v>474</v>
      </c>
      <c r="F21" s="22">
        <v>1271</v>
      </c>
      <c r="G21" s="6">
        <v>9659.6</v>
      </c>
    </row>
    <row r="22" spans="1:7" outlineLevel="2" x14ac:dyDescent="0.3">
      <c r="A22" s="1">
        <v>21</v>
      </c>
      <c r="B22" t="s">
        <v>440</v>
      </c>
      <c r="C22" t="s">
        <v>470</v>
      </c>
      <c r="D22" t="s">
        <v>471</v>
      </c>
      <c r="E22" t="s">
        <v>475</v>
      </c>
      <c r="F22" s="22">
        <v>872</v>
      </c>
      <c r="G22" s="6">
        <v>11623.76</v>
      </c>
    </row>
    <row r="23" spans="1:7" outlineLevel="1" x14ac:dyDescent="0.3">
      <c r="B23" s="30" t="s">
        <v>655</v>
      </c>
      <c r="F23" s="22">
        <f>SUBTOTAL(9,F2:F22)</f>
        <v>21291</v>
      </c>
      <c r="G23" s="6">
        <f>SUBTOTAL(9,G2:G22)</f>
        <v>334122.00999999995</v>
      </c>
    </row>
    <row r="24" spans="1:7" outlineLevel="2" x14ac:dyDescent="0.3">
      <c r="A24" s="1">
        <v>22</v>
      </c>
      <c r="B24" t="s">
        <v>476</v>
      </c>
      <c r="C24" t="s">
        <v>477</v>
      </c>
      <c r="D24" t="s">
        <v>478</v>
      </c>
      <c r="E24" t="s">
        <v>479</v>
      </c>
      <c r="F24" s="22">
        <v>26768</v>
      </c>
      <c r="G24" s="6">
        <v>53536</v>
      </c>
    </row>
    <row r="25" spans="1:7" outlineLevel="2" x14ac:dyDescent="0.3">
      <c r="A25" s="1">
        <v>23</v>
      </c>
      <c r="B25" t="s">
        <v>476</v>
      </c>
      <c r="C25" t="s">
        <v>477</v>
      </c>
      <c r="D25" t="s">
        <v>478</v>
      </c>
      <c r="E25" t="s">
        <v>480</v>
      </c>
      <c r="F25" s="22">
        <v>26831</v>
      </c>
      <c r="G25" s="6">
        <v>67077.5</v>
      </c>
    </row>
    <row r="26" spans="1:7" outlineLevel="2" x14ac:dyDescent="0.3">
      <c r="A26" s="1">
        <v>24</v>
      </c>
      <c r="B26" t="s">
        <v>476</v>
      </c>
      <c r="C26" t="s">
        <v>477</v>
      </c>
      <c r="D26" t="s">
        <v>478</v>
      </c>
      <c r="E26" t="s">
        <v>481</v>
      </c>
      <c r="F26" s="22">
        <v>24888</v>
      </c>
      <c r="G26" s="6">
        <v>74664</v>
      </c>
    </row>
    <row r="27" spans="1:7" outlineLevel="2" x14ac:dyDescent="0.3">
      <c r="A27" s="1">
        <v>25</v>
      </c>
      <c r="B27" t="s">
        <v>476</v>
      </c>
      <c r="C27" t="s">
        <v>477</v>
      </c>
      <c r="D27" t="s">
        <v>482</v>
      </c>
      <c r="E27" t="s">
        <v>483</v>
      </c>
      <c r="F27" s="22">
        <v>26671</v>
      </c>
      <c r="G27" s="6">
        <v>58676.200000000004</v>
      </c>
    </row>
    <row r="28" spans="1:7" outlineLevel="2" x14ac:dyDescent="0.3">
      <c r="A28" s="1">
        <v>26</v>
      </c>
      <c r="B28" t="s">
        <v>476</v>
      </c>
      <c r="C28" t="s">
        <v>477</v>
      </c>
      <c r="D28" t="s">
        <v>482</v>
      </c>
      <c r="E28" t="s">
        <v>484</v>
      </c>
      <c r="F28" s="22">
        <v>26852</v>
      </c>
      <c r="G28" s="6">
        <v>80556</v>
      </c>
    </row>
    <row r="29" spans="1:7" outlineLevel="2" x14ac:dyDescent="0.3">
      <c r="A29" s="1">
        <v>27</v>
      </c>
      <c r="B29" t="s">
        <v>476</v>
      </c>
      <c r="C29" t="s">
        <v>477</v>
      </c>
      <c r="D29" t="s">
        <v>482</v>
      </c>
      <c r="E29" t="s">
        <v>485</v>
      </c>
      <c r="F29" s="22">
        <v>26001</v>
      </c>
      <c r="G29" s="6">
        <v>91003.5</v>
      </c>
    </row>
    <row r="30" spans="1:7" outlineLevel="2" x14ac:dyDescent="0.3">
      <c r="A30" s="1">
        <v>28</v>
      </c>
      <c r="B30" t="s">
        <v>476</v>
      </c>
      <c r="C30" t="s">
        <v>477</v>
      </c>
      <c r="D30" t="s">
        <v>486</v>
      </c>
      <c r="E30" t="s">
        <v>487</v>
      </c>
      <c r="F30" s="22">
        <v>25236</v>
      </c>
      <c r="G30" s="6">
        <v>50472</v>
      </c>
    </row>
    <row r="31" spans="1:7" outlineLevel="2" x14ac:dyDescent="0.3">
      <c r="A31" s="1">
        <v>29</v>
      </c>
      <c r="B31" t="s">
        <v>476</v>
      </c>
      <c r="C31" t="s">
        <v>477</v>
      </c>
      <c r="D31" t="s">
        <v>486</v>
      </c>
      <c r="E31" t="s">
        <v>488</v>
      </c>
      <c r="F31" s="22">
        <v>27514</v>
      </c>
      <c r="G31" s="6">
        <v>68785</v>
      </c>
    </row>
    <row r="32" spans="1:7" outlineLevel="2" x14ac:dyDescent="0.3">
      <c r="A32" s="1">
        <v>30</v>
      </c>
      <c r="B32" t="s">
        <v>476</v>
      </c>
      <c r="C32" t="s">
        <v>477</v>
      </c>
      <c r="D32" t="s">
        <v>486</v>
      </c>
      <c r="E32" t="s">
        <v>489</v>
      </c>
      <c r="F32" s="22">
        <v>25970</v>
      </c>
      <c r="G32" s="6">
        <v>77910</v>
      </c>
    </row>
    <row r="33" spans="1:7" outlineLevel="2" x14ac:dyDescent="0.3">
      <c r="A33" s="1">
        <v>31</v>
      </c>
      <c r="B33" t="s">
        <v>476</v>
      </c>
      <c r="C33" t="s">
        <v>477</v>
      </c>
      <c r="D33" t="s">
        <v>486</v>
      </c>
      <c r="E33" t="s">
        <v>490</v>
      </c>
      <c r="F33" s="22">
        <v>27061</v>
      </c>
      <c r="G33" s="6">
        <v>59534.200000000004</v>
      </c>
    </row>
    <row r="34" spans="1:7" outlineLevel="2" x14ac:dyDescent="0.3">
      <c r="A34" s="1">
        <v>32</v>
      </c>
      <c r="B34" t="s">
        <v>476</v>
      </c>
      <c r="C34" t="s">
        <v>477</v>
      </c>
      <c r="D34" t="s">
        <v>486</v>
      </c>
      <c r="E34" t="s">
        <v>491</v>
      </c>
      <c r="F34" s="22">
        <v>27287</v>
      </c>
      <c r="G34" s="6">
        <v>81861</v>
      </c>
    </row>
    <row r="35" spans="1:7" outlineLevel="2" x14ac:dyDescent="0.3">
      <c r="A35" s="1">
        <v>33</v>
      </c>
      <c r="B35" t="s">
        <v>476</v>
      </c>
      <c r="C35" t="s">
        <v>477</v>
      </c>
      <c r="D35" t="s">
        <v>486</v>
      </c>
      <c r="E35" t="s">
        <v>492</v>
      </c>
      <c r="F35" s="22">
        <v>26146</v>
      </c>
      <c r="G35" s="6">
        <v>91511</v>
      </c>
    </row>
    <row r="36" spans="1:7" outlineLevel="2" x14ac:dyDescent="0.3">
      <c r="A36" s="1">
        <v>34</v>
      </c>
      <c r="B36" t="s">
        <v>476</v>
      </c>
      <c r="C36" t="s">
        <v>477</v>
      </c>
      <c r="D36" t="s">
        <v>493</v>
      </c>
      <c r="E36" t="s">
        <v>494</v>
      </c>
      <c r="F36" s="22">
        <v>24566</v>
      </c>
      <c r="G36" s="6">
        <v>60186.700000000004</v>
      </c>
    </row>
    <row r="37" spans="1:7" outlineLevel="2" x14ac:dyDescent="0.3">
      <c r="A37" s="1">
        <v>35</v>
      </c>
      <c r="B37" t="s">
        <v>476</v>
      </c>
      <c r="C37" t="s">
        <v>477</v>
      </c>
      <c r="D37" t="s">
        <v>493</v>
      </c>
      <c r="E37" t="s">
        <v>495</v>
      </c>
      <c r="F37" s="22">
        <v>24877</v>
      </c>
      <c r="G37" s="6">
        <v>77118.7</v>
      </c>
    </row>
    <row r="38" spans="1:7" outlineLevel="2" x14ac:dyDescent="0.3">
      <c r="A38" s="1">
        <v>36</v>
      </c>
      <c r="B38" t="s">
        <v>476</v>
      </c>
      <c r="C38" t="s">
        <v>477</v>
      </c>
      <c r="D38" t="s">
        <v>493</v>
      </c>
      <c r="E38" t="s">
        <v>496</v>
      </c>
      <c r="F38" s="22">
        <v>26489</v>
      </c>
      <c r="G38" s="6">
        <v>99333.75</v>
      </c>
    </row>
    <row r="39" spans="1:7" outlineLevel="2" x14ac:dyDescent="0.3">
      <c r="A39" s="1">
        <v>37</v>
      </c>
      <c r="B39" t="s">
        <v>476</v>
      </c>
      <c r="C39" t="s">
        <v>477</v>
      </c>
      <c r="D39" t="s">
        <v>497</v>
      </c>
      <c r="E39" t="s">
        <v>498</v>
      </c>
      <c r="F39" s="22">
        <v>25726</v>
      </c>
      <c r="G39" s="6">
        <v>77178</v>
      </c>
    </row>
    <row r="40" spans="1:7" outlineLevel="2" x14ac:dyDescent="0.3">
      <c r="A40" s="1">
        <v>38</v>
      </c>
      <c r="B40" t="s">
        <v>476</v>
      </c>
      <c r="C40" t="s">
        <v>477</v>
      </c>
      <c r="D40" t="s">
        <v>497</v>
      </c>
      <c r="E40" t="s">
        <v>499</v>
      </c>
      <c r="F40" s="22">
        <v>27754</v>
      </c>
      <c r="G40" s="6">
        <v>104077.5</v>
      </c>
    </row>
    <row r="41" spans="1:7" outlineLevel="2" x14ac:dyDescent="0.3">
      <c r="A41" s="1">
        <v>39</v>
      </c>
      <c r="B41" t="s">
        <v>476</v>
      </c>
      <c r="C41" t="s">
        <v>477</v>
      </c>
      <c r="D41" t="s">
        <v>497</v>
      </c>
      <c r="E41" t="s">
        <v>500</v>
      </c>
      <c r="F41" s="22">
        <v>27141</v>
      </c>
      <c r="G41" s="6">
        <v>115349.25</v>
      </c>
    </row>
    <row r="42" spans="1:7" outlineLevel="2" x14ac:dyDescent="0.3">
      <c r="A42" s="1">
        <v>40</v>
      </c>
      <c r="B42" t="s">
        <v>476</v>
      </c>
      <c r="C42" t="s">
        <v>477</v>
      </c>
      <c r="D42" t="s">
        <v>497</v>
      </c>
      <c r="E42" t="s">
        <v>501</v>
      </c>
      <c r="F42" s="22">
        <v>26355</v>
      </c>
      <c r="G42" s="6">
        <v>98831.25</v>
      </c>
    </row>
    <row r="43" spans="1:7" outlineLevel="2" x14ac:dyDescent="0.3">
      <c r="A43" s="1">
        <v>41</v>
      </c>
      <c r="B43" t="s">
        <v>476</v>
      </c>
      <c r="C43" t="s">
        <v>477</v>
      </c>
      <c r="D43" t="s">
        <v>497</v>
      </c>
      <c r="E43" t="s">
        <v>502</v>
      </c>
      <c r="F43" s="22">
        <v>25836</v>
      </c>
      <c r="G43" s="6">
        <v>109803</v>
      </c>
    </row>
    <row r="44" spans="1:7" outlineLevel="2" x14ac:dyDescent="0.3">
      <c r="A44" s="1">
        <v>42</v>
      </c>
      <c r="B44" t="s">
        <v>476</v>
      </c>
      <c r="C44" t="s">
        <v>503</v>
      </c>
      <c r="D44" t="s">
        <v>504</v>
      </c>
      <c r="E44" t="s">
        <v>505</v>
      </c>
      <c r="F44" s="22">
        <v>26553</v>
      </c>
      <c r="G44" s="6">
        <v>66382.5</v>
      </c>
    </row>
    <row r="45" spans="1:7" outlineLevel="2" x14ac:dyDescent="0.3">
      <c r="A45" s="1">
        <v>43</v>
      </c>
      <c r="B45" t="s">
        <v>476</v>
      </c>
      <c r="C45" t="s">
        <v>503</v>
      </c>
      <c r="D45" t="s">
        <v>504</v>
      </c>
      <c r="E45" t="s">
        <v>506</v>
      </c>
      <c r="F45" s="22">
        <v>24917</v>
      </c>
      <c r="G45" s="6">
        <v>74751</v>
      </c>
    </row>
    <row r="46" spans="1:7" outlineLevel="2" x14ac:dyDescent="0.3">
      <c r="A46" s="1">
        <v>44</v>
      </c>
      <c r="B46" t="s">
        <v>476</v>
      </c>
      <c r="C46" t="s">
        <v>503</v>
      </c>
      <c r="D46" t="s">
        <v>504</v>
      </c>
      <c r="E46" t="s">
        <v>507</v>
      </c>
      <c r="F46" s="22">
        <v>27449</v>
      </c>
      <c r="G46" s="6">
        <v>68622.5</v>
      </c>
    </row>
    <row r="47" spans="1:7" outlineLevel="2" x14ac:dyDescent="0.3">
      <c r="A47" s="1">
        <v>45</v>
      </c>
      <c r="B47" t="s">
        <v>476</v>
      </c>
      <c r="C47" t="s">
        <v>503</v>
      </c>
      <c r="D47" t="s">
        <v>504</v>
      </c>
      <c r="E47" t="s">
        <v>508</v>
      </c>
      <c r="F47" s="22">
        <v>25770</v>
      </c>
      <c r="G47" s="6">
        <v>77310</v>
      </c>
    </row>
    <row r="48" spans="1:7" outlineLevel="2" x14ac:dyDescent="0.3">
      <c r="A48" s="1">
        <v>46</v>
      </c>
      <c r="B48" t="s">
        <v>476</v>
      </c>
      <c r="C48" t="s">
        <v>503</v>
      </c>
      <c r="D48" t="s">
        <v>509</v>
      </c>
      <c r="E48" t="s">
        <v>510</v>
      </c>
      <c r="F48" s="22">
        <v>27295</v>
      </c>
      <c r="G48" s="6">
        <v>68237.5</v>
      </c>
    </row>
    <row r="49" spans="1:7" outlineLevel="2" x14ac:dyDescent="0.3">
      <c r="A49" s="1">
        <v>47</v>
      </c>
      <c r="B49" t="s">
        <v>476</v>
      </c>
      <c r="C49" t="s">
        <v>503</v>
      </c>
      <c r="D49" t="s">
        <v>509</v>
      </c>
      <c r="E49" t="s">
        <v>511</v>
      </c>
      <c r="F49" s="22">
        <v>25483</v>
      </c>
      <c r="G49" s="6">
        <v>76449</v>
      </c>
    </row>
    <row r="50" spans="1:7" outlineLevel="2" x14ac:dyDescent="0.3">
      <c r="A50" s="1">
        <v>48</v>
      </c>
      <c r="B50" t="s">
        <v>476</v>
      </c>
      <c r="C50" t="s">
        <v>503</v>
      </c>
      <c r="D50" t="s">
        <v>512</v>
      </c>
      <c r="E50" t="s">
        <v>513</v>
      </c>
      <c r="F50" s="22">
        <v>25337</v>
      </c>
      <c r="G50" s="6">
        <v>63342.5</v>
      </c>
    </row>
    <row r="51" spans="1:7" outlineLevel="2" x14ac:dyDescent="0.3">
      <c r="A51" s="1">
        <v>49</v>
      </c>
      <c r="B51" t="s">
        <v>476</v>
      </c>
      <c r="C51" t="s">
        <v>503</v>
      </c>
      <c r="D51" t="s">
        <v>512</v>
      </c>
      <c r="E51" t="s">
        <v>514</v>
      </c>
      <c r="F51" s="22">
        <v>26032</v>
      </c>
      <c r="G51" s="6">
        <v>78096</v>
      </c>
    </row>
    <row r="52" spans="1:7" outlineLevel="2" x14ac:dyDescent="0.3">
      <c r="A52" s="1">
        <v>50</v>
      </c>
      <c r="B52" t="s">
        <v>476</v>
      </c>
      <c r="C52" t="s">
        <v>503</v>
      </c>
      <c r="D52" t="s">
        <v>512</v>
      </c>
      <c r="E52" t="s">
        <v>515</v>
      </c>
      <c r="F52" s="22">
        <v>28388</v>
      </c>
      <c r="G52" s="6">
        <v>70970</v>
      </c>
    </row>
    <row r="53" spans="1:7" outlineLevel="2" x14ac:dyDescent="0.3">
      <c r="A53" s="1">
        <v>51</v>
      </c>
      <c r="B53" t="s">
        <v>476</v>
      </c>
      <c r="C53" t="s">
        <v>503</v>
      </c>
      <c r="D53" t="s">
        <v>512</v>
      </c>
      <c r="E53" t="s">
        <v>516</v>
      </c>
      <c r="F53" s="22">
        <v>25817</v>
      </c>
      <c r="G53" s="6">
        <v>77451</v>
      </c>
    </row>
    <row r="54" spans="1:7" outlineLevel="2" x14ac:dyDescent="0.3">
      <c r="A54" s="1">
        <v>52</v>
      </c>
      <c r="B54" t="s">
        <v>476</v>
      </c>
      <c r="C54" t="s">
        <v>503</v>
      </c>
      <c r="D54" t="s">
        <v>517</v>
      </c>
      <c r="E54" t="s">
        <v>518</v>
      </c>
      <c r="F54" s="22">
        <v>27258</v>
      </c>
      <c r="G54" s="6">
        <v>68145</v>
      </c>
    </row>
    <row r="55" spans="1:7" outlineLevel="2" x14ac:dyDescent="0.3">
      <c r="A55" s="1">
        <v>53</v>
      </c>
      <c r="B55" t="s">
        <v>476</v>
      </c>
      <c r="C55" t="s">
        <v>503</v>
      </c>
      <c r="D55" t="s">
        <v>517</v>
      </c>
      <c r="E55" t="s">
        <v>519</v>
      </c>
      <c r="F55" s="22">
        <v>25572</v>
      </c>
      <c r="G55" s="6">
        <v>76716</v>
      </c>
    </row>
    <row r="56" spans="1:7" outlineLevel="2" x14ac:dyDescent="0.3">
      <c r="A56" s="1">
        <v>54</v>
      </c>
      <c r="B56" t="s">
        <v>476</v>
      </c>
      <c r="C56" t="s">
        <v>503</v>
      </c>
      <c r="D56" t="s">
        <v>517</v>
      </c>
      <c r="E56" t="s">
        <v>520</v>
      </c>
      <c r="F56" s="22">
        <v>27762</v>
      </c>
      <c r="G56" s="6">
        <v>69405</v>
      </c>
    </row>
    <row r="57" spans="1:7" outlineLevel="2" x14ac:dyDescent="0.3">
      <c r="A57" s="1">
        <v>55</v>
      </c>
      <c r="B57" t="s">
        <v>476</v>
      </c>
      <c r="C57" t="s">
        <v>503</v>
      </c>
      <c r="D57" t="s">
        <v>517</v>
      </c>
      <c r="E57" t="s">
        <v>521</v>
      </c>
      <c r="F57" s="22">
        <v>26937</v>
      </c>
      <c r="G57" s="6">
        <v>107748</v>
      </c>
    </row>
    <row r="58" spans="1:7" outlineLevel="2" x14ac:dyDescent="0.3">
      <c r="A58" s="1">
        <v>56</v>
      </c>
      <c r="B58" t="s">
        <v>476</v>
      </c>
      <c r="C58" t="s">
        <v>503</v>
      </c>
      <c r="D58" t="s">
        <v>517</v>
      </c>
      <c r="E58" t="s">
        <v>522</v>
      </c>
      <c r="F58" s="22">
        <v>25358</v>
      </c>
      <c r="G58" s="6">
        <v>64662.899999999994</v>
      </c>
    </row>
    <row r="59" spans="1:7" outlineLevel="2" x14ac:dyDescent="0.3">
      <c r="A59" s="1">
        <v>57</v>
      </c>
      <c r="B59" t="s">
        <v>476</v>
      </c>
      <c r="C59" t="s">
        <v>503</v>
      </c>
      <c r="D59" t="s">
        <v>517</v>
      </c>
      <c r="E59" t="s">
        <v>523</v>
      </c>
      <c r="F59" s="22">
        <v>26460</v>
      </c>
      <c r="G59" s="6">
        <v>82026</v>
      </c>
    </row>
    <row r="60" spans="1:7" outlineLevel="2" x14ac:dyDescent="0.3">
      <c r="A60" s="1">
        <v>58</v>
      </c>
      <c r="B60" t="s">
        <v>476</v>
      </c>
      <c r="C60" t="s">
        <v>471</v>
      </c>
      <c r="D60" t="s">
        <v>524</v>
      </c>
      <c r="E60" t="s">
        <v>525</v>
      </c>
      <c r="F60" s="22">
        <v>24346</v>
      </c>
      <c r="G60" s="6">
        <v>85211</v>
      </c>
    </row>
    <row r="61" spans="1:7" outlineLevel="2" x14ac:dyDescent="0.3">
      <c r="A61" s="1">
        <v>59</v>
      </c>
      <c r="B61" t="s">
        <v>476</v>
      </c>
      <c r="C61" t="s">
        <v>471</v>
      </c>
      <c r="D61" t="s">
        <v>524</v>
      </c>
      <c r="E61" t="s">
        <v>526</v>
      </c>
      <c r="F61" s="22">
        <v>28133</v>
      </c>
      <c r="G61" s="6">
        <v>126598.5</v>
      </c>
    </row>
    <row r="62" spans="1:7" outlineLevel="2" x14ac:dyDescent="0.3">
      <c r="A62" s="1">
        <v>60</v>
      </c>
      <c r="B62" t="s">
        <v>476</v>
      </c>
      <c r="C62" t="s">
        <v>471</v>
      </c>
      <c r="D62" t="s">
        <v>524</v>
      </c>
      <c r="E62" t="s">
        <v>527</v>
      </c>
      <c r="F62" s="22">
        <v>26410</v>
      </c>
      <c r="G62" s="6">
        <v>99037.5</v>
      </c>
    </row>
    <row r="63" spans="1:7" outlineLevel="2" x14ac:dyDescent="0.3">
      <c r="A63" s="1">
        <v>61</v>
      </c>
      <c r="B63" t="s">
        <v>476</v>
      </c>
      <c r="C63" t="s">
        <v>471</v>
      </c>
      <c r="D63" t="s">
        <v>524</v>
      </c>
      <c r="E63" t="s">
        <v>528</v>
      </c>
      <c r="F63" s="22">
        <v>27178</v>
      </c>
      <c r="G63" s="6">
        <v>129095.5</v>
      </c>
    </row>
    <row r="64" spans="1:7" outlineLevel="1" x14ac:dyDescent="0.3">
      <c r="B64" s="30" t="s">
        <v>656</v>
      </c>
      <c r="F64" s="22">
        <f>SUBTOTAL(9,F24:F63)</f>
        <v>1054424</v>
      </c>
      <c r="G64" s="6">
        <f>SUBTOTAL(9,G24:G63)</f>
        <v>3227721.9499999997</v>
      </c>
    </row>
    <row r="65" spans="1:7" outlineLevel="2" x14ac:dyDescent="0.3">
      <c r="A65" s="1">
        <v>63</v>
      </c>
      <c r="B65" t="s">
        <v>529</v>
      </c>
      <c r="C65" t="s">
        <v>530</v>
      </c>
      <c r="D65" t="s">
        <v>531</v>
      </c>
      <c r="E65" t="s">
        <v>532</v>
      </c>
      <c r="F65" s="22">
        <v>15458</v>
      </c>
      <c r="G65" s="6">
        <v>12366.400000000001</v>
      </c>
    </row>
    <row r="66" spans="1:7" outlineLevel="2" x14ac:dyDescent="0.3">
      <c r="A66" s="1">
        <v>64</v>
      </c>
      <c r="B66" t="s">
        <v>529</v>
      </c>
      <c r="C66" t="s">
        <v>530</v>
      </c>
      <c r="D66" t="s">
        <v>531</v>
      </c>
      <c r="E66" t="s">
        <v>533</v>
      </c>
      <c r="F66" s="22">
        <v>14552</v>
      </c>
      <c r="G66" s="6">
        <v>11641.6</v>
      </c>
    </row>
    <row r="67" spans="1:7" outlineLevel="2" x14ac:dyDescent="0.3">
      <c r="A67" s="1">
        <v>65</v>
      </c>
      <c r="B67" t="s">
        <v>529</v>
      </c>
      <c r="C67" t="s">
        <v>530</v>
      </c>
      <c r="D67" t="s">
        <v>534</v>
      </c>
      <c r="E67" t="s">
        <v>535</v>
      </c>
      <c r="F67" s="22">
        <v>17764</v>
      </c>
      <c r="G67" s="6">
        <v>14211.2</v>
      </c>
    </row>
    <row r="68" spans="1:7" outlineLevel="1" x14ac:dyDescent="0.3">
      <c r="B68" s="30" t="s">
        <v>657</v>
      </c>
      <c r="F68" s="22">
        <f>SUBTOTAL(9,F65:F67)</f>
        <v>47774</v>
      </c>
      <c r="G68" s="6">
        <f>SUBTOTAL(9,G65:G67)</f>
        <v>38219.199999999997</v>
      </c>
    </row>
    <row r="69" spans="1:7" outlineLevel="2" x14ac:dyDescent="0.3">
      <c r="A69" s="1">
        <v>69</v>
      </c>
      <c r="B69" t="s">
        <v>536</v>
      </c>
      <c r="C69" t="s">
        <v>537</v>
      </c>
      <c r="D69" t="s">
        <v>545</v>
      </c>
      <c r="E69" t="s">
        <v>547</v>
      </c>
      <c r="F69" s="22">
        <v>12290</v>
      </c>
      <c r="G69" s="6">
        <v>43015</v>
      </c>
    </row>
    <row r="70" spans="1:7" outlineLevel="2" x14ac:dyDescent="0.3">
      <c r="A70" s="1">
        <v>70</v>
      </c>
      <c r="B70" t="s">
        <v>536</v>
      </c>
      <c r="C70" t="s">
        <v>537</v>
      </c>
      <c r="D70" t="s">
        <v>540</v>
      </c>
      <c r="E70" t="s">
        <v>541</v>
      </c>
      <c r="F70" s="22">
        <v>12549</v>
      </c>
      <c r="G70" s="6">
        <v>40784.25</v>
      </c>
    </row>
    <row r="71" spans="1:7" outlineLevel="2" x14ac:dyDescent="0.3">
      <c r="A71" s="1">
        <v>71</v>
      </c>
      <c r="B71" t="s">
        <v>536</v>
      </c>
      <c r="C71" t="s">
        <v>537</v>
      </c>
      <c r="D71" t="s">
        <v>538</v>
      </c>
      <c r="E71" t="s">
        <v>542</v>
      </c>
      <c r="F71" s="22">
        <v>19213</v>
      </c>
      <c r="G71" s="6">
        <v>72048.75</v>
      </c>
    </row>
    <row r="72" spans="1:7" outlineLevel="2" x14ac:dyDescent="0.3">
      <c r="A72" s="1">
        <v>72</v>
      </c>
      <c r="B72" t="s">
        <v>536</v>
      </c>
      <c r="C72" t="s">
        <v>537</v>
      </c>
      <c r="D72" t="s">
        <v>540</v>
      </c>
      <c r="E72" t="s">
        <v>543</v>
      </c>
      <c r="F72" s="22">
        <v>15845</v>
      </c>
      <c r="G72" s="6">
        <v>51496.25</v>
      </c>
    </row>
    <row r="73" spans="1:7" outlineLevel="2" x14ac:dyDescent="0.3">
      <c r="A73" s="1">
        <v>73</v>
      </c>
      <c r="B73" t="s">
        <v>536</v>
      </c>
      <c r="C73" t="s">
        <v>537</v>
      </c>
      <c r="D73" t="s">
        <v>538</v>
      </c>
      <c r="E73" t="s">
        <v>544</v>
      </c>
      <c r="F73" s="22">
        <v>11753</v>
      </c>
      <c r="G73" s="6">
        <v>44073.75</v>
      </c>
    </row>
    <row r="74" spans="1:7" outlineLevel="2" x14ac:dyDescent="0.3">
      <c r="A74" s="1">
        <v>74</v>
      </c>
      <c r="B74" t="s">
        <v>536</v>
      </c>
      <c r="C74" t="s">
        <v>537</v>
      </c>
      <c r="D74" t="s">
        <v>545</v>
      </c>
      <c r="E74" t="s">
        <v>546</v>
      </c>
      <c r="F74" s="22">
        <v>11007</v>
      </c>
      <c r="G74" s="6">
        <v>38524.5</v>
      </c>
    </row>
    <row r="75" spans="1:7" outlineLevel="2" x14ac:dyDescent="0.3">
      <c r="A75" s="1">
        <v>75</v>
      </c>
      <c r="B75" t="s">
        <v>536</v>
      </c>
      <c r="C75" t="s">
        <v>537</v>
      </c>
      <c r="D75" t="s">
        <v>538</v>
      </c>
      <c r="E75" t="s">
        <v>539</v>
      </c>
      <c r="F75" s="22">
        <v>11837</v>
      </c>
      <c r="G75" s="6">
        <v>38470.25</v>
      </c>
    </row>
    <row r="76" spans="1:7" outlineLevel="2" x14ac:dyDescent="0.3">
      <c r="A76" s="1">
        <v>76</v>
      </c>
      <c r="B76" t="s">
        <v>536</v>
      </c>
      <c r="C76" t="s">
        <v>537</v>
      </c>
      <c r="D76" t="s">
        <v>545</v>
      </c>
      <c r="E76" t="s">
        <v>548</v>
      </c>
      <c r="F76" s="22">
        <v>11571</v>
      </c>
      <c r="G76" s="6">
        <v>40498.5</v>
      </c>
    </row>
    <row r="77" spans="1:7" outlineLevel="2" x14ac:dyDescent="0.3">
      <c r="A77" s="1">
        <v>77</v>
      </c>
      <c r="B77" t="s">
        <v>536</v>
      </c>
      <c r="C77" t="s">
        <v>537</v>
      </c>
      <c r="D77" t="s">
        <v>540</v>
      </c>
      <c r="E77" t="s">
        <v>549</v>
      </c>
      <c r="F77" s="22">
        <v>11065</v>
      </c>
      <c r="G77" s="6">
        <v>33195</v>
      </c>
    </row>
    <row r="78" spans="1:7" outlineLevel="2" x14ac:dyDescent="0.3">
      <c r="A78" s="1">
        <v>78</v>
      </c>
      <c r="B78" t="s">
        <v>536</v>
      </c>
      <c r="C78" t="s">
        <v>537</v>
      </c>
      <c r="D78" t="s">
        <v>540</v>
      </c>
      <c r="E78" t="s">
        <v>550</v>
      </c>
      <c r="F78" s="22">
        <v>11837</v>
      </c>
      <c r="G78" s="6">
        <v>53266.5</v>
      </c>
    </row>
    <row r="79" spans="1:7" outlineLevel="2" x14ac:dyDescent="0.3">
      <c r="A79" s="1">
        <v>79</v>
      </c>
      <c r="B79" t="s">
        <v>536</v>
      </c>
      <c r="C79" t="s">
        <v>537</v>
      </c>
      <c r="D79" t="s">
        <v>540</v>
      </c>
      <c r="E79" t="s">
        <v>551</v>
      </c>
      <c r="F79" s="22">
        <v>12466</v>
      </c>
      <c r="G79" s="6">
        <v>46747.5</v>
      </c>
    </row>
    <row r="80" spans="1:7" outlineLevel="1" x14ac:dyDescent="0.3">
      <c r="B80" s="30" t="s">
        <v>658</v>
      </c>
      <c r="F80" s="22">
        <f>SUBTOTAL(9,F69:F79)</f>
        <v>141433</v>
      </c>
      <c r="G80" s="6">
        <f>SUBTOTAL(9,G69:G79)</f>
        <v>502120.25</v>
      </c>
    </row>
    <row r="81" spans="1:7" outlineLevel="2" x14ac:dyDescent="0.3">
      <c r="A81" s="1">
        <v>81</v>
      </c>
      <c r="B81" t="s">
        <v>552</v>
      </c>
      <c r="C81" t="s">
        <v>553</v>
      </c>
      <c r="D81" t="s">
        <v>554</v>
      </c>
      <c r="E81" t="s">
        <v>555</v>
      </c>
      <c r="F81" s="22">
        <v>1429</v>
      </c>
      <c r="G81" s="6">
        <v>40012</v>
      </c>
    </row>
    <row r="82" spans="1:7" outlineLevel="2" x14ac:dyDescent="0.3">
      <c r="A82" s="1">
        <v>82</v>
      </c>
      <c r="B82" t="s">
        <v>552</v>
      </c>
      <c r="C82" t="s">
        <v>553</v>
      </c>
      <c r="D82" t="s">
        <v>556</v>
      </c>
      <c r="E82" t="s">
        <v>557</v>
      </c>
      <c r="F82" s="22">
        <v>1385</v>
      </c>
      <c r="G82" s="6">
        <v>16620</v>
      </c>
    </row>
    <row r="83" spans="1:7" outlineLevel="2" x14ac:dyDescent="0.3">
      <c r="A83" s="1">
        <v>83</v>
      </c>
      <c r="B83" t="s">
        <v>552</v>
      </c>
      <c r="C83" t="s">
        <v>553</v>
      </c>
      <c r="D83" t="s">
        <v>556</v>
      </c>
      <c r="E83" t="s">
        <v>558</v>
      </c>
      <c r="F83" s="22">
        <v>1883</v>
      </c>
      <c r="G83" s="6">
        <v>26362</v>
      </c>
    </row>
    <row r="84" spans="1:7" outlineLevel="1" x14ac:dyDescent="0.3">
      <c r="B84" s="30" t="s">
        <v>659</v>
      </c>
      <c r="F84" s="22">
        <f>SUBTOTAL(9,F81:F83)</f>
        <v>4697</v>
      </c>
      <c r="G84" s="6">
        <f>SUBTOTAL(9,G81:G83)</f>
        <v>82994</v>
      </c>
    </row>
    <row r="85" spans="1:7" outlineLevel="2" x14ac:dyDescent="0.3">
      <c r="A85" s="1">
        <v>84</v>
      </c>
      <c r="B85" t="s">
        <v>529</v>
      </c>
      <c r="C85" t="s">
        <v>530</v>
      </c>
      <c r="D85" t="s">
        <v>531</v>
      </c>
      <c r="E85" t="s">
        <v>559</v>
      </c>
      <c r="F85" s="22">
        <v>16051</v>
      </c>
      <c r="G85" s="6">
        <v>12840.800000000001</v>
      </c>
    </row>
    <row r="86" spans="1:7" outlineLevel="1" x14ac:dyDescent="0.3">
      <c r="B86" s="30" t="s">
        <v>657</v>
      </c>
      <c r="F86" s="22">
        <f>SUBTOTAL(9,F85:F85)</f>
        <v>16051</v>
      </c>
      <c r="G86" s="6">
        <f>SUBTOTAL(9,G85:G85)</f>
        <v>12840.800000000001</v>
      </c>
    </row>
    <row r="87" spans="1:7" outlineLevel="2" x14ac:dyDescent="0.3">
      <c r="A87" s="1">
        <v>87</v>
      </c>
      <c r="B87" t="s">
        <v>476</v>
      </c>
      <c r="C87" t="s">
        <v>477</v>
      </c>
      <c r="D87" t="s">
        <v>497</v>
      </c>
      <c r="E87" t="s">
        <v>560</v>
      </c>
      <c r="F87" s="22">
        <v>19967</v>
      </c>
      <c r="G87" s="6">
        <v>59901</v>
      </c>
    </row>
    <row r="88" spans="1:7" outlineLevel="1" x14ac:dyDescent="0.3">
      <c r="B88" s="30" t="s">
        <v>656</v>
      </c>
      <c r="F88" s="22">
        <f>SUBTOTAL(9,F87:F87)</f>
        <v>19967</v>
      </c>
      <c r="G88" s="6">
        <f>SUBTOTAL(9,G87:G87)</f>
        <v>59901</v>
      </c>
    </row>
    <row r="89" spans="1:7" x14ac:dyDescent="0.3">
      <c r="B89" s="30" t="s">
        <v>28</v>
      </c>
      <c r="F89" s="22">
        <f>SUBTOTAL(9,F2:F87)</f>
        <v>1305637</v>
      </c>
      <c r="G89" s="6">
        <f>SUBTOTAL(9,G2:G87)</f>
        <v>4257919.21</v>
      </c>
    </row>
  </sheetData>
  <autoFilter ref="A1:G87" xr:uid="{0D962FA6-A43E-4BC1-A885-4E0ED716CD08}"/>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3A94C2-5FFA-4B73-A28D-7C0D2680E060}">
  <sheetPr codeName="Sheet19">
    <tabColor theme="8" tint="0.59999389629810485"/>
  </sheetPr>
  <dimension ref="A1:K26"/>
  <sheetViews>
    <sheetView workbookViewId="0">
      <selection activeCell="G3" sqref="G3"/>
    </sheetView>
  </sheetViews>
  <sheetFormatPr defaultRowHeight="14.4" x14ac:dyDescent="0.3"/>
  <cols>
    <col min="1" max="1" width="16.6640625" bestFit="1" customWidth="1"/>
    <col min="7" max="7" width="16.6640625" bestFit="1" customWidth="1"/>
  </cols>
  <sheetData>
    <row r="1" spans="1:11" x14ac:dyDescent="0.3">
      <c r="A1" s="48" t="s">
        <v>574</v>
      </c>
      <c r="B1" s="48"/>
      <c r="C1" s="48"/>
      <c r="D1" s="48"/>
      <c r="E1" s="48"/>
      <c r="G1" s="48" t="s">
        <v>577</v>
      </c>
      <c r="H1" s="48"/>
      <c r="I1" s="48"/>
      <c r="J1" s="48"/>
      <c r="K1" s="48"/>
    </row>
    <row r="2" spans="1:11" x14ac:dyDescent="0.3">
      <c r="A2" s="29" t="s">
        <v>561</v>
      </c>
      <c r="B2" s="29" t="s">
        <v>570</v>
      </c>
      <c r="C2" s="29" t="s">
        <v>571</v>
      </c>
      <c r="D2" s="29" t="s">
        <v>572</v>
      </c>
      <c r="E2" s="29" t="s">
        <v>573</v>
      </c>
      <c r="G2" s="29" t="s">
        <v>561</v>
      </c>
      <c r="H2" s="29" t="s">
        <v>570</v>
      </c>
      <c r="I2" s="29" t="s">
        <v>571</v>
      </c>
      <c r="J2" s="29" t="s">
        <v>572</v>
      </c>
      <c r="K2" s="29" t="s">
        <v>573</v>
      </c>
    </row>
    <row r="3" spans="1:11" x14ac:dyDescent="0.3">
      <c r="A3" t="s">
        <v>476</v>
      </c>
      <c r="B3" s="6">
        <v>108110.89999999804</v>
      </c>
      <c r="C3" s="6">
        <v>131578.29999999728</v>
      </c>
      <c r="D3" s="6">
        <v>126159.04999999776</v>
      </c>
      <c r="E3" s="6">
        <v>140993.24999999837</v>
      </c>
      <c r="H3" s="6"/>
      <c r="I3" s="6"/>
      <c r="J3" s="6"/>
      <c r="K3" s="6"/>
    </row>
    <row r="4" spans="1:11" x14ac:dyDescent="0.3">
      <c r="A4" t="s">
        <v>536</v>
      </c>
      <c r="B4" s="6">
        <v>15699.75</v>
      </c>
      <c r="C4" s="6">
        <v>19002.75</v>
      </c>
      <c r="D4" s="6">
        <v>18172.5</v>
      </c>
      <c r="E4" s="6">
        <v>20247.5</v>
      </c>
      <c r="H4" s="6"/>
      <c r="I4" s="6"/>
      <c r="J4" s="6"/>
      <c r="K4" s="6"/>
    </row>
    <row r="5" spans="1:11" x14ac:dyDescent="0.3">
      <c r="A5" t="s">
        <v>440</v>
      </c>
      <c r="B5" s="6">
        <v>8926.5299999999916</v>
      </c>
      <c r="C5" s="6">
        <v>10767.760000000022</v>
      </c>
      <c r="D5" s="6">
        <v>10171.400000000014</v>
      </c>
      <c r="E5" s="6">
        <v>11000.110000000022</v>
      </c>
      <c r="H5" s="6"/>
      <c r="I5" s="6"/>
      <c r="J5" s="6"/>
      <c r="K5" s="6"/>
    </row>
    <row r="6" spans="1:11" x14ac:dyDescent="0.3">
      <c r="A6" t="s">
        <v>552</v>
      </c>
      <c r="B6" s="6">
        <v>3248</v>
      </c>
      <c r="C6" s="6">
        <v>3829</v>
      </c>
      <c r="D6" s="6">
        <v>3779</v>
      </c>
      <c r="E6" s="6">
        <v>4371</v>
      </c>
      <c r="H6" s="6"/>
      <c r="I6" s="6"/>
      <c r="J6" s="6"/>
      <c r="K6" s="6"/>
    </row>
    <row r="7" spans="1:11" x14ac:dyDescent="0.3">
      <c r="A7" s="8" t="s">
        <v>529</v>
      </c>
      <c r="B7" s="36">
        <v>1075.199999999996</v>
      </c>
      <c r="C7" s="36">
        <v>1259.1999999999848</v>
      </c>
      <c r="D7" s="36">
        <v>1220.7999999999877</v>
      </c>
      <c r="E7" s="36">
        <v>1395.999999999977</v>
      </c>
      <c r="G7" s="8"/>
      <c r="H7" s="36"/>
      <c r="I7" s="36"/>
      <c r="J7" s="36"/>
      <c r="K7" s="36"/>
    </row>
    <row r="8" spans="1:11" x14ac:dyDescent="0.3">
      <c r="A8" s="30" t="s">
        <v>28</v>
      </c>
      <c r="B8" s="35">
        <v>137060.37999999803</v>
      </c>
      <c r="C8" s="35">
        <v>166437.00999999727</v>
      </c>
      <c r="D8" s="35">
        <v>159502.74999999779</v>
      </c>
      <c r="E8" s="35">
        <v>178007.85999999836</v>
      </c>
      <c r="G8" s="30"/>
      <c r="H8" s="35"/>
      <c r="I8" s="35"/>
      <c r="J8" s="35"/>
      <c r="K8" s="35"/>
    </row>
    <row r="10" spans="1:11" x14ac:dyDescent="0.3">
      <c r="A10" s="48" t="s">
        <v>575</v>
      </c>
      <c r="B10" s="48"/>
      <c r="C10" s="48"/>
      <c r="D10" s="48"/>
      <c r="E10" s="48"/>
    </row>
    <row r="11" spans="1:11" x14ac:dyDescent="0.3">
      <c r="A11" s="29" t="s">
        <v>561</v>
      </c>
      <c r="B11" s="29" t="s">
        <v>570</v>
      </c>
      <c r="C11" s="29" t="s">
        <v>571</v>
      </c>
      <c r="D11" s="29" t="s">
        <v>572</v>
      </c>
      <c r="E11" s="29" t="s">
        <v>573</v>
      </c>
    </row>
    <row r="12" spans="1:11" x14ac:dyDescent="0.3">
      <c r="A12" t="s">
        <v>476</v>
      </c>
      <c r="B12" s="6">
        <v>104200.19999999882</v>
      </c>
      <c r="C12" s="6">
        <v>125505.04999999799</v>
      </c>
      <c r="D12" s="6">
        <v>121090.94999999799</v>
      </c>
      <c r="E12" s="6">
        <v>134841.14999999831</v>
      </c>
    </row>
    <row r="13" spans="1:11" x14ac:dyDescent="0.3">
      <c r="A13" t="s">
        <v>536</v>
      </c>
      <c r="B13" s="6">
        <v>16615.78999999995</v>
      </c>
      <c r="C13" s="6">
        <v>20265.939999999984</v>
      </c>
      <c r="D13" s="6">
        <v>19442.159999999974</v>
      </c>
      <c r="E13" s="6">
        <v>21688.62999999999</v>
      </c>
    </row>
    <row r="14" spans="1:11" x14ac:dyDescent="0.3">
      <c r="A14" t="s">
        <v>440</v>
      </c>
      <c r="B14" s="6">
        <v>9852.7400000000052</v>
      </c>
      <c r="C14" s="6">
        <v>11884.090000000035</v>
      </c>
      <c r="D14" s="6">
        <v>11037.100000000024</v>
      </c>
      <c r="E14" s="6">
        <v>12762.770000000037</v>
      </c>
    </row>
    <row r="15" spans="1:11" x14ac:dyDescent="0.3">
      <c r="A15" t="s">
        <v>552</v>
      </c>
      <c r="B15" s="6">
        <v>3640</v>
      </c>
      <c r="C15" s="6">
        <v>4718</v>
      </c>
      <c r="D15" s="6">
        <v>4484</v>
      </c>
      <c r="E15" s="6">
        <v>4986</v>
      </c>
    </row>
    <row r="16" spans="1:11" x14ac:dyDescent="0.3">
      <c r="A16" s="8" t="s">
        <v>529</v>
      </c>
      <c r="B16" s="36">
        <v>2271.9999999999527</v>
      </c>
      <c r="C16" s="36">
        <v>2735.1999999999684</v>
      </c>
      <c r="D16" s="36">
        <v>2592.7999999999597</v>
      </c>
      <c r="E16" s="36">
        <v>2907.9999999999723</v>
      </c>
    </row>
    <row r="17" spans="1:5" x14ac:dyDescent="0.3">
      <c r="A17" s="30" t="s">
        <v>28</v>
      </c>
      <c r="B17" s="35">
        <v>136580.72999999873</v>
      </c>
      <c r="C17" s="35">
        <v>165108.27999999796</v>
      </c>
      <c r="D17" s="35">
        <v>158647.00999999797</v>
      </c>
      <c r="E17" s="35">
        <v>177186.54999999833</v>
      </c>
    </row>
    <row r="19" spans="1:5" x14ac:dyDescent="0.3">
      <c r="A19" s="48" t="s">
        <v>576</v>
      </c>
      <c r="B19" s="48"/>
      <c r="C19" s="48"/>
      <c r="D19" s="48"/>
      <c r="E19" s="48"/>
    </row>
    <row r="20" spans="1:5" x14ac:dyDescent="0.3">
      <c r="A20" s="29" t="s">
        <v>561</v>
      </c>
      <c r="B20" s="29" t="s">
        <v>570</v>
      </c>
      <c r="C20" s="29" t="s">
        <v>571</v>
      </c>
      <c r="D20" s="29" t="s">
        <v>572</v>
      </c>
      <c r="E20" s="29" t="s">
        <v>573</v>
      </c>
    </row>
    <row r="21" spans="1:5" x14ac:dyDescent="0.3">
      <c r="A21" t="s">
        <v>476</v>
      </c>
      <c r="B21" s="6">
        <v>104092.94999999853</v>
      </c>
      <c r="C21" s="6">
        <v>126823.94999999786</v>
      </c>
      <c r="D21" s="6">
        <v>120588.74999999809</v>
      </c>
      <c r="E21" s="6">
        <v>136553.24999999854</v>
      </c>
    </row>
    <row r="22" spans="1:5" x14ac:dyDescent="0.3">
      <c r="A22" t="s">
        <v>536</v>
      </c>
      <c r="B22" s="6">
        <v>16011.399999999998</v>
      </c>
      <c r="C22" s="6">
        <v>19371.149999999994</v>
      </c>
      <c r="D22" s="6">
        <v>18450.099999999999</v>
      </c>
      <c r="E22" s="6">
        <v>20885.449999999997</v>
      </c>
    </row>
    <row r="23" spans="1:5" x14ac:dyDescent="0.3">
      <c r="A23" t="s">
        <v>440</v>
      </c>
      <c r="B23" s="6">
        <v>12508.780000000042</v>
      </c>
      <c r="C23" s="6">
        <v>16338.470000000099</v>
      </c>
      <c r="D23" s="6">
        <v>16566.470000000099</v>
      </c>
      <c r="E23" s="6">
        <v>17577.06000000011</v>
      </c>
    </row>
    <row r="24" spans="1:5" x14ac:dyDescent="0.3">
      <c r="A24" t="s">
        <v>529</v>
      </c>
      <c r="B24" s="6">
        <v>1630.3999999999637</v>
      </c>
      <c r="C24" s="6">
        <v>1986.3999999999446</v>
      </c>
      <c r="D24" s="6">
        <v>1872.7999999999518</v>
      </c>
      <c r="E24" s="6">
        <v>2108.799999999942</v>
      </c>
    </row>
    <row r="25" spans="1:5" x14ac:dyDescent="0.3">
      <c r="A25" s="8" t="s">
        <v>552</v>
      </c>
      <c r="B25" s="36">
        <v>906</v>
      </c>
      <c r="C25" s="36">
        <v>1322</v>
      </c>
      <c r="D25" s="36">
        <v>950</v>
      </c>
      <c r="E25" s="36">
        <v>1470</v>
      </c>
    </row>
    <row r="26" spans="1:5" x14ac:dyDescent="0.3">
      <c r="A26" s="30" t="s">
        <v>28</v>
      </c>
      <c r="B26" s="35">
        <v>135149.52999999851</v>
      </c>
      <c r="C26" s="35">
        <v>165841.96999999788</v>
      </c>
      <c r="D26" s="35">
        <v>158428.11999999813</v>
      </c>
      <c r="E26" s="35">
        <v>178594.5599999986</v>
      </c>
    </row>
  </sheetData>
  <dataConsolidate/>
  <mergeCells count="4">
    <mergeCell ref="A1:E1"/>
    <mergeCell ref="A10:E10"/>
    <mergeCell ref="A19:E19"/>
    <mergeCell ref="G1:K1"/>
  </mergeCells>
  <phoneticPr fontId="22"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0F85DF-0F30-4F67-A9FC-AA9BA07ED29A}">
  <sheetPr codeName="Sheet20">
    <tabColor theme="8" tint="0.59999389629810485"/>
  </sheetPr>
  <dimension ref="A1:B8"/>
  <sheetViews>
    <sheetView showGridLines="0" workbookViewId="0">
      <selection activeCell="B8" sqref="B8"/>
    </sheetView>
  </sheetViews>
  <sheetFormatPr defaultRowHeight="14.4" x14ac:dyDescent="0.3"/>
  <cols>
    <col min="1" max="1" width="14.33203125" bestFit="1" customWidth="1"/>
    <col min="2" max="2" width="14.33203125" customWidth="1"/>
  </cols>
  <sheetData>
    <row r="1" spans="1:2" ht="15" thickBot="1" x14ac:dyDescent="0.35">
      <c r="A1" s="49" t="s">
        <v>567</v>
      </c>
      <c r="B1" s="49"/>
    </row>
    <row r="2" spans="1:2" ht="15" thickBot="1" x14ac:dyDescent="0.35">
      <c r="A2" s="4" t="s">
        <v>566</v>
      </c>
      <c r="B2" s="34">
        <v>250</v>
      </c>
    </row>
    <row r="3" spans="1:2" ht="15" thickBot="1" x14ac:dyDescent="0.35">
      <c r="A3" s="4" t="s">
        <v>568</v>
      </c>
      <c r="B3" s="32">
        <v>16.5</v>
      </c>
    </row>
    <row r="4" spans="1:2" ht="15" thickBot="1" x14ac:dyDescent="0.35">
      <c r="A4" s="4" t="s">
        <v>44</v>
      </c>
      <c r="B4" s="32">
        <v>22</v>
      </c>
    </row>
    <row r="5" spans="1:2" ht="3.75" customHeight="1" thickBot="1" x14ac:dyDescent="0.35">
      <c r="A5" s="4"/>
      <c r="B5" s="4"/>
    </row>
    <row r="6" spans="1:2" ht="15" thickBot="1" x14ac:dyDescent="0.35">
      <c r="A6" s="9" t="s">
        <v>578</v>
      </c>
      <c r="B6" s="33"/>
    </row>
    <row r="7" spans="1:2" ht="3.75" customHeight="1" thickBot="1" x14ac:dyDescent="0.35">
      <c r="A7" s="4"/>
      <c r="B7" s="4"/>
    </row>
    <row r="8" spans="1:2" ht="30" customHeight="1" thickBot="1" x14ac:dyDescent="0.35">
      <c r="A8" s="31" t="s">
        <v>569</v>
      </c>
      <c r="B8" s="50">
        <f>IFERROR((B4-B3)*B6-B2,"")</f>
        <v>-250</v>
      </c>
    </row>
  </sheetData>
  <mergeCells count="1">
    <mergeCell ref="A1:B1"/>
  </mergeCells>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5C1D7B-7BA5-4021-8B69-C3E3D3ADE824}">
  <sheetPr codeName="Sheet21">
    <tabColor rgb="FFD00000"/>
  </sheetPr>
  <dimension ref="A1"/>
  <sheetViews>
    <sheetView showGridLines="0" workbookViewId="0"/>
  </sheetViews>
  <sheetFormatPr defaultRowHeight="14.4" x14ac:dyDescent="0.3"/>
  <cols>
    <col min="1" max="1" width="2.88671875" customWidth="1"/>
  </cols>
  <sheetData>
    <row r="1" spans="1:1" x14ac:dyDescent="0.3">
      <c r="A1" t="s">
        <v>660</v>
      </c>
    </row>
  </sheetData>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3A8748-30E8-46B2-8E23-A9FC6381DB6D}">
  <sheetPr codeName="Sheet22">
    <tabColor rgb="FFFF9999"/>
  </sheetPr>
  <dimension ref="A1:F230"/>
  <sheetViews>
    <sheetView workbookViewId="0">
      <selection sqref="A1:F1"/>
    </sheetView>
  </sheetViews>
  <sheetFormatPr defaultRowHeight="14.4" x14ac:dyDescent="0.3"/>
  <cols>
    <col min="1" max="1" width="11.88671875" bestFit="1" customWidth="1"/>
    <col min="3" max="3" width="14.6640625" bestFit="1" customWidth="1"/>
    <col min="4" max="4" width="50.5546875" bestFit="1" customWidth="1"/>
    <col min="5" max="5" width="14.6640625" bestFit="1" customWidth="1"/>
    <col min="6" max="6" width="18.88671875" bestFit="1" customWidth="1"/>
  </cols>
  <sheetData>
    <row r="1" spans="1:6" ht="18" x14ac:dyDescent="0.35">
      <c r="A1" s="51" t="s">
        <v>626</v>
      </c>
      <c r="B1" s="51"/>
      <c r="C1" s="51"/>
      <c r="D1" s="51"/>
      <c r="E1" s="51"/>
      <c r="F1" s="51"/>
    </row>
    <row r="2" spans="1:6" x14ac:dyDescent="0.3">
      <c r="A2" s="38" t="s">
        <v>579</v>
      </c>
      <c r="B2" s="38" t="s">
        <v>580</v>
      </c>
      <c r="C2" s="38" t="s">
        <v>581</v>
      </c>
      <c r="D2" s="38" t="s">
        <v>583</v>
      </c>
      <c r="E2" s="38" t="s">
        <v>584</v>
      </c>
      <c r="F2" s="38" t="s">
        <v>582</v>
      </c>
    </row>
    <row r="3" spans="1:6" x14ac:dyDescent="0.3">
      <c r="A3" s="2">
        <v>43832</v>
      </c>
      <c r="B3" s="43">
        <v>0.76041666666666663</v>
      </c>
      <c r="C3" t="s">
        <v>649</v>
      </c>
      <c r="D3" t="s">
        <v>588</v>
      </c>
      <c r="E3" t="s">
        <v>601</v>
      </c>
      <c r="F3" s="1">
        <v>0</v>
      </c>
    </row>
    <row r="4" spans="1:6" x14ac:dyDescent="0.3">
      <c r="A4" s="2">
        <v>43833</v>
      </c>
      <c r="B4" s="43">
        <v>0.47222222222222227</v>
      </c>
      <c r="C4" t="s">
        <v>650</v>
      </c>
      <c r="D4" t="s">
        <v>588</v>
      </c>
      <c r="E4" t="s">
        <v>586</v>
      </c>
      <c r="F4" s="1">
        <v>0</v>
      </c>
    </row>
    <row r="5" spans="1:6" x14ac:dyDescent="0.3">
      <c r="A5" s="2">
        <v>43833</v>
      </c>
      <c r="B5" s="43">
        <v>0.54166666666666663</v>
      </c>
      <c r="C5" t="s">
        <v>651</v>
      </c>
      <c r="D5" t="s">
        <v>590</v>
      </c>
      <c r="E5" t="s">
        <v>591</v>
      </c>
      <c r="F5" s="1">
        <v>1</v>
      </c>
    </row>
    <row r="6" spans="1:6" x14ac:dyDescent="0.3">
      <c r="A6" s="2">
        <v>43834</v>
      </c>
      <c r="B6" s="43">
        <v>0.20486111111111113</v>
      </c>
      <c r="C6" t="s">
        <v>652</v>
      </c>
      <c r="D6" t="s">
        <v>597</v>
      </c>
      <c r="E6" t="s">
        <v>618</v>
      </c>
      <c r="F6" s="1">
        <v>0</v>
      </c>
    </row>
    <row r="7" spans="1:6" x14ac:dyDescent="0.3">
      <c r="A7" s="2">
        <v>43834</v>
      </c>
      <c r="B7" s="43">
        <v>0.46319444444444446</v>
      </c>
      <c r="C7" t="s">
        <v>650</v>
      </c>
      <c r="D7" t="s">
        <v>602</v>
      </c>
      <c r="E7" t="s">
        <v>624</v>
      </c>
      <c r="F7" s="1">
        <v>0</v>
      </c>
    </row>
    <row r="8" spans="1:6" x14ac:dyDescent="0.3">
      <c r="A8" s="2">
        <v>43835</v>
      </c>
      <c r="B8" s="43">
        <v>0.40208333333333335</v>
      </c>
      <c r="C8" t="s">
        <v>650</v>
      </c>
      <c r="D8" t="s">
        <v>587</v>
      </c>
      <c r="E8" t="s">
        <v>586</v>
      </c>
      <c r="F8" s="1">
        <v>0</v>
      </c>
    </row>
    <row r="9" spans="1:6" x14ac:dyDescent="0.3">
      <c r="A9" s="2">
        <v>43835</v>
      </c>
      <c r="B9" s="43">
        <v>0.65277777777777779</v>
      </c>
      <c r="C9" t="s">
        <v>650</v>
      </c>
      <c r="D9" t="s">
        <v>588</v>
      </c>
      <c r="E9" t="s">
        <v>618</v>
      </c>
      <c r="F9" s="1">
        <v>0</v>
      </c>
    </row>
    <row r="10" spans="1:6" x14ac:dyDescent="0.3">
      <c r="A10" s="2">
        <v>43836</v>
      </c>
      <c r="B10" s="43">
        <v>0.44097222222222227</v>
      </c>
      <c r="C10" t="s">
        <v>650</v>
      </c>
      <c r="D10" t="s">
        <v>587</v>
      </c>
      <c r="E10" t="s">
        <v>586</v>
      </c>
      <c r="F10" s="1">
        <v>0</v>
      </c>
    </row>
    <row r="11" spans="1:6" x14ac:dyDescent="0.3">
      <c r="A11" s="2">
        <v>43837</v>
      </c>
      <c r="B11" s="43">
        <v>0.69097222222222221</v>
      </c>
      <c r="C11" t="s">
        <v>650</v>
      </c>
      <c r="D11" t="s">
        <v>617</v>
      </c>
      <c r="E11" t="s">
        <v>623</v>
      </c>
      <c r="F11" s="1">
        <v>0</v>
      </c>
    </row>
    <row r="12" spans="1:6" x14ac:dyDescent="0.3">
      <c r="A12" s="2">
        <v>43838</v>
      </c>
      <c r="B12" s="43">
        <v>0.47222222222222227</v>
      </c>
      <c r="C12" t="s">
        <v>650</v>
      </c>
      <c r="D12" t="s">
        <v>587</v>
      </c>
      <c r="E12" t="s">
        <v>618</v>
      </c>
      <c r="F12" s="1">
        <v>0</v>
      </c>
    </row>
    <row r="13" spans="1:6" x14ac:dyDescent="0.3">
      <c r="A13" s="2">
        <v>43839</v>
      </c>
      <c r="B13" s="43">
        <v>0.43402777777777773</v>
      </c>
      <c r="C13" t="s">
        <v>650</v>
      </c>
      <c r="D13" t="s">
        <v>604</v>
      </c>
      <c r="E13" t="s">
        <v>618</v>
      </c>
      <c r="F13" s="1">
        <v>0</v>
      </c>
    </row>
    <row r="14" spans="1:6" x14ac:dyDescent="0.3">
      <c r="A14" s="2">
        <v>43839</v>
      </c>
      <c r="B14" s="43">
        <v>0.4375</v>
      </c>
      <c r="C14" t="s">
        <v>650</v>
      </c>
      <c r="D14" t="s">
        <v>597</v>
      </c>
      <c r="E14" t="s">
        <v>598</v>
      </c>
      <c r="F14" s="1">
        <v>0</v>
      </c>
    </row>
    <row r="15" spans="1:6" x14ac:dyDescent="0.3">
      <c r="A15" s="2">
        <v>43839</v>
      </c>
      <c r="B15" s="43">
        <v>0.51597222222222217</v>
      </c>
      <c r="C15" t="s">
        <v>650</v>
      </c>
      <c r="D15" t="s">
        <v>590</v>
      </c>
      <c r="E15" t="s">
        <v>601</v>
      </c>
      <c r="F15" s="1">
        <v>0</v>
      </c>
    </row>
    <row r="16" spans="1:6" x14ac:dyDescent="0.3">
      <c r="A16" s="2">
        <v>43841</v>
      </c>
      <c r="B16" s="43">
        <v>0.23611111111111113</v>
      </c>
      <c r="C16" t="s">
        <v>649</v>
      </c>
      <c r="D16" t="s">
        <v>588</v>
      </c>
      <c r="E16" t="s">
        <v>586</v>
      </c>
      <c r="F16" s="1">
        <v>0</v>
      </c>
    </row>
    <row r="17" spans="1:6" x14ac:dyDescent="0.3">
      <c r="A17" s="2">
        <v>43841</v>
      </c>
      <c r="B17" s="43">
        <v>0.54236111111111118</v>
      </c>
      <c r="C17" t="s">
        <v>649</v>
      </c>
      <c r="D17" t="s">
        <v>592</v>
      </c>
      <c r="E17" t="s">
        <v>608</v>
      </c>
      <c r="F17" s="1">
        <v>0</v>
      </c>
    </row>
    <row r="18" spans="1:6" x14ac:dyDescent="0.3">
      <c r="A18" s="2">
        <v>43843</v>
      </c>
      <c r="B18" s="43">
        <v>0.36458333333333331</v>
      </c>
      <c r="C18" t="s">
        <v>652</v>
      </c>
      <c r="D18" t="s">
        <v>587</v>
      </c>
      <c r="E18" t="s">
        <v>618</v>
      </c>
      <c r="F18" s="1">
        <v>1</v>
      </c>
    </row>
    <row r="19" spans="1:6" x14ac:dyDescent="0.3">
      <c r="A19" s="2">
        <v>43843</v>
      </c>
      <c r="B19" s="43">
        <v>0.54166666666666663</v>
      </c>
      <c r="C19" t="s">
        <v>649</v>
      </c>
      <c r="D19" t="s">
        <v>587</v>
      </c>
      <c r="E19" t="s">
        <v>598</v>
      </c>
      <c r="F19" s="1">
        <v>0</v>
      </c>
    </row>
    <row r="20" spans="1:6" x14ac:dyDescent="0.3">
      <c r="A20" s="2">
        <v>43843</v>
      </c>
      <c r="B20" s="43">
        <v>0.59583333333333333</v>
      </c>
      <c r="C20" t="s">
        <v>650</v>
      </c>
      <c r="D20" t="s">
        <v>599</v>
      </c>
      <c r="E20" t="s">
        <v>586</v>
      </c>
      <c r="F20" s="1">
        <v>0</v>
      </c>
    </row>
    <row r="21" spans="1:6" x14ac:dyDescent="0.3">
      <c r="A21" s="2">
        <v>43843</v>
      </c>
      <c r="B21" s="43">
        <v>0.625</v>
      </c>
      <c r="C21" t="s">
        <v>649</v>
      </c>
      <c r="D21" t="s">
        <v>602</v>
      </c>
      <c r="E21" t="s">
        <v>608</v>
      </c>
      <c r="F21" s="1">
        <v>0</v>
      </c>
    </row>
    <row r="22" spans="1:6" x14ac:dyDescent="0.3">
      <c r="A22" s="2">
        <v>43844</v>
      </c>
      <c r="B22" s="43">
        <v>0.42777777777777781</v>
      </c>
      <c r="C22" t="s">
        <v>652</v>
      </c>
      <c r="D22" t="s">
        <v>599</v>
      </c>
      <c r="E22" t="s">
        <v>598</v>
      </c>
      <c r="F22" s="1">
        <v>0</v>
      </c>
    </row>
    <row r="23" spans="1:6" x14ac:dyDescent="0.3">
      <c r="A23" s="2">
        <v>43844</v>
      </c>
      <c r="B23" s="43">
        <v>0.59305555555555556</v>
      </c>
      <c r="C23" t="s">
        <v>649</v>
      </c>
      <c r="D23" t="s">
        <v>592</v>
      </c>
      <c r="E23" t="s">
        <v>591</v>
      </c>
      <c r="F23" s="1">
        <v>1</v>
      </c>
    </row>
    <row r="24" spans="1:6" x14ac:dyDescent="0.3">
      <c r="A24" s="2">
        <v>43845</v>
      </c>
      <c r="B24" s="43">
        <v>0.51388888888888895</v>
      </c>
      <c r="C24" t="s">
        <v>649</v>
      </c>
      <c r="D24" t="s">
        <v>602</v>
      </c>
      <c r="E24" t="s">
        <v>607</v>
      </c>
      <c r="F24" s="1">
        <v>0</v>
      </c>
    </row>
    <row r="25" spans="1:6" x14ac:dyDescent="0.3">
      <c r="A25" s="2">
        <v>43845</v>
      </c>
      <c r="B25" s="43">
        <v>0.51388888888888895</v>
      </c>
      <c r="C25" t="s">
        <v>652</v>
      </c>
      <c r="D25" t="s">
        <v>587</v>
      </c>
      <c r="E25" t="s">
        <v>586</v>
      </c>
      <c r="F25" s="1">
        <v>0</v>
      </c>
    </row>
    <row r="26" spans="1:6" x14ac:dyDescent="0.3">
      <c r="A26" s="2">
        <v>43846</v>
      </c>
      <c r="B26" s="43">
        <v>0.2673611111111111</v>
      </c>
      <c r="C26" t="s">
        <v>649</v>
      </c>
      <c r="D26" t="s">
        <v>585</v>
      </c>
      <c r="E26" t="s">
        <v>601</v>
      </c>
      <c r="F26" s="1">
        <v>0</v>
      </c>
    </row>
    <row r="27" spans="1:6" x14ac:dyDescent="0.3">
      <c r="A27" s="2">
        <v>43846</v>
      </c>
      <c r="B27" s="43">
        <v>0.47916666666666669</v>
      </c>
      <c r="C27" t="s">
        <v>650</v>
      </c>
      <c r="D27" t="s">
        <v>595</v>
      </c>
      <c r="E27" t="s">
        <v>624</v>
      </c>
      <c r="F27" s="1">
        <v>0</v>
      </c>
    </row>
    <row r="28" spans="1:6" x14ac:dyDescent="0.3">
      <c r="A28" s="2">
        <v>43846</v>
      </c>
      <c r="B28" s="43">
        <v>0.625</v>
      </c>
      <c r="C28" t="s">
        <v>652</v>
      </c>
      <c r="D28" t="s">
        <v>587</v>
      </c>
      <c r="E28" t="s">
        <v>618</v>
      </c>
      <c r="F28" s="1">
        <v>0</v>
      </c>
    </row>
    <row r="29" spans="1:6" x14ac:dyDescent="0.3">
      <c r="A29" s="2">
        <v>43847</v>
      </c>
      <c r="B29" s="43">
        <v>0.36458333333333331</v>
      </c>
      <c r="C29" t="s">
        <v>649</v>
      </c>
      <c r="D29" t="s">
        <v>588</v>
      </c>
      <c r="E29" t="s">
        <v>589</v>
      </c>
      <c r="F29" s="1">
        <v>0</v>
      </c>
    </row>
    <row r="30" spans="1:6" x14ac:dyDescent="0.3">
      <c r="A30" s="2">
        <v>43847</v>
      </c>
      <c r="B30" s="43">
        <v>0.38194444444444442</v>
      </c>
      <c r="C30" t="s">
        <v>649</v>
      </c>
      <c r="D30" t="s">
        <v>587</v>
      </c>
      <c r="E30" t="s">
        <v>586</v>
      </c>
      <c r="F30" s="1">
        <v>0</v>
      </c>
    </row>
    <row r="31" spans="1:6" x14ac:dyDescent="0.3">
      <c r="A31" s="2">
        <v>43847</v>
      </c>
      <c r="B31" s="43">
        <v>0.49652777777777773</v>
      </c>
      <c r="C31" t="s">
        <v>649</v>
      </c>
      <c r="D31" t="s">
        <v>587</v>
      </c>
      <c r="E31" t="s">
        <v>586</v>
      </c>
      <c r="F31" s="1">
        <v>0</v>
      </c>
    </row>
    <row r="32" spans="1:6" x14ac:dyDescent="0.3">
      <c r="A32" s="2">
        <v>43851</v>
      </c>
      <c r="B32" s="43">
        <v>0.30555555555555552</v>
      </c>
      <c r="C32" t="s">
        <v>651</v>
      </c>
      <c r="D32" t="s">
        <v>587</v>
      </c>
      <c r="E32" t="s">
        <v>622</v>
      </c>
      <c r="F32" s="1">
        <v>0</v>
      </c>
    </row>
    <row r="33" spans="1:6" x14ac:dyDescent="0.3">
      <c r="A33" s="2">
        <v>43851</v>
      </c>
      <c r="B33" s="43">
        <v>0.42708333333333331</v>
      </c>
      <c r="C33" t="s">
        <v>649</v>
      </c>
      <c r="D33" t="s">
        <v>590</v>
      </c>
      <c r="E33" t="s">
        <v>586</v>
      </c>
      <c r="F33" s="1">
        <v>0</v>
      </c>
    </row>
    <row r="34" spans="1:6" x14ac:dyDescent="0.3">
      <c r="A34" s="2">
        <v>43851</v>
      </c>
      <c r="B34" s="43">
        <v>0.54166666666666663</v>
      </c>
      <c r="C34" t="s">
        <v>652</v>
      </c>
      <c r="D34" t="s">
        <v>588</v>
      </c>
      <c r="E34" t="s">
        <v>618</v>
      </c>
      <c r="F34" s="1">
        <v>0</v>
      </c>
    </row>
    <row r="35" spans="1:6" x14ac:dyDescent="0.3">
      <c r="A35" s="2">
        <v>43851</v>
      </c>
      <c r="B35" s="43">
        <v>0.58333333333333337</v>
      </c>
      <c r="C35" t="s">
        <v>650</v>
      </c>
      <c r="D35" t="s">
        <v>588</v>
      </c>
      <c r="E35" t="s">
        <v>586</v>
      </c>
      <c r="F35" s="1">
        <v>0</v>
      </c>
    </row>
    <row r="36" spans="1:6" x14ac:dyDescent="0.3">
      <c r="A36" s="2">
        <v>43852</v>
      </c>
      <c r="B36" s="43">
        <v>0.51736111111111105</v>
      </c>
      <c r="C36" t="s">
        <v>649</v>
      </c>
      <c r="D36" t="s">
        <v>590</v>
      </c>
      <c r="E36" t="s">
        <v>618</v>
      </c>
      <c r="F36" s="1">
        <v>0</v>
      </c>
    </row>
    <row r="37" spans="1:6" x14ac:dyDescent="0.3">
      <c r="A37" s="2">
        <v>43853</v>
      </c>
      <c r="B37" s="43">
        <v>0.54861111111111105</v>
      </c>
      <c r="C37" t="s">
        <v>651</v>
      </c>
      <c r="D37" t="s">
        <v>609</v>
      </c>
      <c r="E37" t="s">
        <v>618</v>
      </c>
      <c r="F37" s="1">
        <v>0</v>
      </c>
    </row>
    <row r="38" spans="1:6" x14ac:dyDescent="0.3">
      <c r="A38" s="2">
        <v>43853</v>
      </c>
      <c r="B38" s="43">
        <v>0.61111111111111105</v>
      </c>
      <c r="C38" t="s">
        <v>649</v>
      </c>
      <c r="D38" t="s">
        <v>588</v>
      </c>
      <c r="E38" t="s">
        <v>618</v>
      </c>
      <c r="F38" s="1">
        <v>0</v>
      </c>
    </row>
    <row r="39" spans="1:6" x14ac:dyDescent="0.3">
      <c r="A39" s="2">
        <v>43854</v>
      </c>
      <c r="B39" s="43">
        <v>0.3520833333333333</v>
      </c>
      <c r="C39" t="s">
        <v>650</v>
      </c>
      <c r="D39" t="s">
        <v>590</v>
      </c>
      <c r="E39" t="s">
        <v>586</v>
      </c>
      <c r="F39" s="1">
        <v>0</v>
      </c>
    </row>
    <row r="40" spans="1:6" x14ac:dyDescent="0.3">
      <c r="A40" s="2">
        <v>43855</v>
      </c>
      <c r="B40" s="43">
        <v>0.65625</v>
      </c>
      <c r="C40" t="s">
        <v>649</v>
      </c>
      <c r="D40" t="s">
        <v>606</v>
      </c>
      <c r="E40" t="s">
        <v>618</v>
      </c>
      <c r="F40" s="1">
        <v>0</v>
      </c>
    </row>
    <row r="41" spans="1:6" x14ac:dyDescent="0.3">
      <c r="A41" s="2">
        <v>43857</v>
      </c>
      <c r="B41" s="43">
        <v>0.73263888888888884</v>
      </c>
      <c r="C41" t="s">
        <v>651</v>
      </c>
      <c r="D41" t="s">
        <v>587</v>
      </c>
      <c r="E41" t="s">
        <v>618</v>
      </c>
      <c r="F41" s="1">
        <v>0</v>
      </c>
    </row>
    <row r="42" spans="1:6" x14ac:dyDescent="0.3">
      <c r="A42" s="2">
        <v>43859</v>
      </c>
      <c r="B42" s="43">
        <v>0.41944444444444445</v>
      </c>
      <c r="C42" t="s">
        <v>649</v>
      </c>
      <c r="D42" t="s">
        <v>609</v>
      </c>
      <c r="E42" t="s">
        <v>586</v>
      </c>
      <c r="F42" s="1">
        <v>0</v>
      </c>
    </row>
    <row r="43" spans="1:6" x14ac:dyDescent="0.3">
      <c r="A43" s="2">
        <v>43860</v>
      </c>
      <c r="B43" s="43">
        <v>0.35416666666666669</v>
      </c>
      <c r="C43" t="s">
        <v>649</v>
      </c>
      <c r="D43" t="s">
        <v>611</v>
      </c>
      <c r="E43" t="s">
        <v>586</v>
      </c>
      <c r="F43" s="1">
        <v>0</v>
      </c>
    </row>
    <row r="44" spans="1:6" x14ac:dyDescent="0.3">
      <c r="A44" s="2">
        <v>43860</v>
      </c>
      <c r="B44" s="43">
        <v>0.42777777777777781</v>
      </c>
      <c r="C44" t="s">
        <v>649</v>
      </c>
      <c r="D44" t="s">
        <v>602</v>
      </c>
      <c r="E44" t="s">
        <v>586</v>
      </c>
      <c r="F44" s="1">
        <v>0</v>
      </c>
    </row>
    <row r="45" spans="1:6" x14ac:dyDescent="0.3">
      <c r="A45" s="2">
        <v>43863</v>
      </c>
      <c r="B45" s="43">
        <v>0.63541666666666663</v>
      </c>
      <c r="C45" t="s">
        <v>652</v>
      </c>
      <c r="D45" t="s">
        <v>585</v>
      </c>
      <c r="E45" t="s">
        <v>586</v>
      </c>
      <c r="F45" s="1">
        <v>0</v>
      </c>
    </row>
    <row r="46" spans="1:6" x14ac:dyDescent="0.3">
      <c r="A46" s="2">
        <v>43863</v>
      </c>
      <c r="B46" s="43">
        <v>0.74652777777777779</v>
      </c>
      <c r="C46" t="s">
        <v>650</v>
      </c>
      <c r="D46" t="s">
        <v>587</v>
      </c>
      <c r="E46" t="s">
        <v>591</v>
      </c>
      <c r="F46" s="1">
        <v>1</v>
      </c>
    </row>
    <row r="47" spans="1:6" x14ac:dyDescent="0.3">
      <c r="A47" s="2">
        <v>43864</v>
      </c>
      <c r="B47" s="43">
        <v>0.1423611111111111</v>
      </c>
      <c r="C47" t="s">
        <v>651</v>
      </c>
      <c r="D47" t="s">
        <v>604</v>
      </c>
      <c r="E47" t="s">
        <v>605</v>
      </c>
      <c r="F47" s="1">
        <v>0</v>
      </c>
    </row>
    <row r="48" spans="1:6" x14ac:dyDescent="0.3">
      <c r="A48" s="2">
        <v>43864</v>
      </c>
      <c r="B48" s="43">
        <v>0.36458333333333331</v>
      </c>
      <c r="C48" t="s">
        <v>649</v>
      </c>
      <c r="D48" t="s">
        <v>590</v>
      </c>
      <c r="E48" t="s">
        <v>601</v>
      </c>
      <c r="F48" s="1">
        <v>0</v>
      </c>
    </row>
    <row r="49" spans="1:6" x14ac:dyDescent="0.3">
      <c r="A49" s="2">
        <v>43864</v>
      </c>
      <c r="B49" s="43">
        <v>0.6645833333333333</v>
      </c>
      <c r="C49" t="s">
        <v>650</v>
      </c>
      <c r="D49" t="s">
        <v>588</v>
      </c>
      <c r="E49" t="s">
        <v>623</v>
      </c>
      <c r="F49" s="1">
        <v>0</v>
      </c>
    </row>
    <row r="50" spans="1:6" x14ac:dyDescent="0.3">
      <c r="A50" s="2">
        <v>43864</v>
      </c>
      <c r="B50" s="43">
        <v>0.88680555555555562</v>
      </c>
      <c r="C50" t="s">
        <v>649</v>
      </c>
      <c r="D50" t="s">
        <v>590</v>
      </c>
      <c r="E50" t="s">
        <v>586</v>
      </c>
      <c r="F50" s="1">
        <v>0</v>
      </c>
    </row>
    <row r="51" spans="1:6" x14ac:dyDescent="0.3">
      <c r="A51" s="2">
        <v>43867</v>
      </c>
      <c r="B51" s="43">
        <v>0.42569444444444443</v>
      </c>
      <c r="C51" t="s">
        <v>650</v>
      </c>
      <c r="D51" t="s">
        <v>609</v>
      </c>
      <c r="E51" t="s">
        <v>624</v>
      </c>
      <c r="F51" s="1">
        <v>1</v>
      </c>
    </row>
    <row r="52" spans="1:6" x14ac:dyDescent="0.3">
      <c r="A52" s="2">
        <v>43868</v>
      </c>
      <c r="B52" s="43">
        <v>0.28819444444444448</v>
      </c>
      <c r="C52" t="s">
        <v>649</v>
      </c>
      <c r="D52" t="s">
        <v>590</v>
      </c>
      <c r="E52" t="s">
        <v>618</v>
      </c>
      <c r="F52" s="1">
        <v>1</v>
      </c>
    </row>
    <row r="53" spans="1:6" x14ac:dyDescent="0.3">
      <c r="A53" s="2">
        <v>43868</v>
      </c>
      <c r="B53" s="43">
        <v>0.55208333333333337</v>
      </c>
      <c r="C53" t="s">
        <v>650</v>
      </c>
      <c r="D53" t="s">
        <v>587</v>
      </c>
      <c r="E53" t="s">
        <v>624</v>
      </c>
      <c r="F53" s="1">
        <v>0</v>
      </c>
    </row>
    <row r="54" spans="1:6" x14ac:dyDescent="0.3">
      <c r="A54" s="2">
        <v>43868</v>
      </c>
      <c r="B54" s="43">
        <v>0.66111111111111109</v>
      </c>
      <c r="C54" t="s">
        <v>649</v>
      </c>
      <c r="D54" t="s">
        <v>606</v>
      </c>
      <c r="E54" t="s">
        <v>605</v>
      </c>
      <c r="F54" s="1">
        <v>0</v>
      </c>
    </row>
    <row r="55" spans="1:6" x14ac:dyDescent="0.3">
      <c r="A55" s="2">
        <v>43868</v>
      </c>
      <c r="B55" s="43">
        <v>0.69444444444444453</v>
      </c>
      <c r="C55" t="s">
        <v>649</v>
      </c>
      <c r="D55" t="s">
        <v>602</v>
      </c>
      <c r="E55" t="s">
        <v>618</v>
      </c>
      <c r="F55" s="1">
        <v>0</v>
      </c>
    </row>
    <row r="56" spans="1:6" x14ac:dyDescent="0.3">
      <c r="A56" s="2">
        <v>43870</v>
      </c>
      <c r="B56" s="43">
        <v>0.42152777777777778</v>
      </c>
      <c r="C56" t="s">
        <v>650</v>
      </c>
      <c r="D56" t="s">
        <v>587</v>
      </c>
      <c r="E56" t="s">
        <v>586</v>
      </c>
      <c r="F56" s="1">
        <v>0</v>
      </c>
    </row>
    <row r="57" spans="1:6" x14ac:dyDescent="0.3">
      <c r="A57" s="2">
        <v>43871</v>
      </c>
      <c r="B57" s="43">
        <v>0.45347222222222222</v>
      </c>
      <c r="C57" t="s">
        <v>649</v>
      </c>
      <c r="D57" t="s">
        <v>609</v>
      </c>
      <c r="E57" t="s">
        <v>624</v>
      </c>
      <c r="F57" s="1">
        <v>0</v>
      </c>
    </row>
    <row r="58" spans="1:6" x14ac:dyDescent="0.3">
      <c r="A58" s="2">
        <v>43871</v>
      </c>
      <c r="B58" s="43">
        <v>0.65277777777777779</v>
      </c>
      <c r="C58" t="s">
        <v>649</v>
      </c>
      <c r="D58" t="s">
        <v>590</v>
      </c>
      <c r="E58" t="s">
        <v>622</v>
      </c>
      <c r="F58" s="1">
        <v>0</v>
      </c>
    </row>
    <row r="59" spans="1:6" x14ac:dyDescent="0.3">
      <c r="A59" s="2">
        <v>43871</v>
      </c>
      <c r="B59" s="43">
        <v>0.8305555555555556</v>
      </c>
      <c r="C59" t="s">
        <v>651</v>
      </c>
      <c r="D59" t="s">
        <v>590</v>
      </c>
      <c r="E59" t="s">
        <v>586</v>
      </c>
      <c r="F59" s="1">
        <v>0</v>
      </c>
    </row>
    <row r="60" spans="1:6" x14ac:dyDescent="0.3">
      <c r="A60" s="2">
        <v>43872</v>
      </c>
      <c r="B60" s="43">
        <v>0.3923611111111111</v>
      </c>
      <c r="C60" t="s">
        <v>650</v>
      </c>
      <c r="D60" t="s">
        <v>587</v>
      </c>
      <c r="E60" t="s">
        <v>618</v>
      </c>
      <c r="F60" s="1">
        <v>0</v>
      </c>
    </row>
    <row r="61" spans="1:6" x14ac:dyDescent="0.3">
      <c r="A61" s="2">
        <v>43873</v>
      </c>
      <c r="B61" s="43">
        <v>0.4375</v>
      </c>
      <c r="C61" t="s">
        <v>649</v>
      </c>
      <c r="D61" t="s">
        <v>619</v>
      </c>
      <c r="E61" t="s">
        <v>618</v>
      </c>
      <c r="F61" s="1">
        <v>0</v>
      </c>
    </row>
    <row r="62" spans="1:6" x14ac:dyDescent="0.3">
      <c r="A62" s="2">
        <v>43873</v>
      </c>
      <c r="B62" s="43">
        <v>0.57638888888888895</v>
      </c>
      <c r="C62" t="s">
        <v>650</v>
      </c>
      <c r="D62" t="s">
        <v>587</v>
      </c>
      <c r="E62" t="s">
        <v>618</v>
      </c>
      <c r="F62" s="1">
        <v>0</v>
      </c>
    </row>
    <row r="63" spans="1:6" x14ac:dyDescent="0.3">
      <c r="A63" s="2">
        <v>43873</v>
      </c>
      <c r="B63" s="43">
        <v>0.64930555555555558</v>
      </c>
      <c r="C63" t="s">
        <v>649</v>
      </c>
      <c r="D63" t="s">
        <v>587</v>
      </c>
      <c r="E63" t="s">
        <v>586</v>
      </c>
      <c r="F63" s="1">
        <v>0</v>
      </c>
    </row>
    <row r="64" spans="1:6" x14ac:dyDescent="0.3">
      <c r="A64" s="2">
        <v>43874</v>
      </c>
      <c r="B64" s="43">
        <v>0.72777777777777775</v>
      </c>
      <c r="C64" t="s">
        <v>649</v>
      </c>
      <c r="D64" t="s">
        <v>602</v>
      </c>
      <c r="E64" t="s">
        <v>618</v>
      </c>
      <c r="F64" s="1">
        <v>0</v>
      </c>
    </row>
    <row r="65" spans="1:6" x14ac:dyDescent="0.3">
      <c r="A65" s="2">
        <v>43875</v>
      </c>
      <c r="B65" s="43">
        <v>0.3888888888888889</v>
      </c>
      <c r="C65" t="s">
        <v>649</v>
      </c>
      <c r="D65" t="s">
        <v>588</v>
      </c>
      <c r="E65" t="s">
        <v>608</v>
      </c>
      <c r="F65" s="1">
        <v>0</v>
      </c>
    </row>
    <row r="66" spans="1:6" x14ac:dyDescent="0.3">
      <c r="A66" s="2">
        <v>43875</v>
      </c>
      <c r="B66" s="43">
        <v>0.3888888888888889</v>
      </c>
      <c r="C66" t="s">
        <v>649</v>
      </c>
      <c r="D66" t="s">
        <v>599</v>
      </c>
      <c r="E66" t="s">
        <v>586</v>
      </c>
      <c r="F66" s="1">
        <v>0</v>
      </c>
    </row>
    <row r="67" spans="1:6" x14ac:dyDescent="0.3">
      <c r="A67" s="2">
        <v>43875</v>
      </c>
      <c r="B67" s="43">
        <v>0.67013888888888884</v>
      </c>
      <c r="C67" t="s">
        <v>649</v>
      </c>
      <c r="D67" t="s">
        <v>609</v>
      </c>
      <c r="E67" t="s">
        <v>586</v>
      </c>
      <c r="F67" s="1">
        <v>0</v>
      </c>
    </row>
    <row r="68" spans="1:6" x14ac:dyDescent="0.3">
      <c r="A68" s="2">
        <v>43875</v>
      </c>
      <c r="B68" s="43">
        <v>0.71180555555555547</v>
      </c>
      <c r="C68" t="s">
        <v>649</v>
      </c>
      <c r="D68" t="s">
        <v>609</v>
      </c>
      <c r="E68" t="s">
        <v>622</v>
      </c>
      <c r="F68" s="1">
        <v>0</v>
      </c>
    </row>
    <row r="69" spans="1:6" x14ac:dyDescent="0.3">
      <c r="A69" s="2">
        <v>43878</v>
      </c>
      <c r="B69" s="43">
        <v>0.45833333333333331</v>
      </c>
      <c r="C69" t="s">
        <v>652</v>
      </c>
      <c r="D69" t="s">
        <v>587</v>
      </c>
      <c r="E69" t="s">
        <v>586</v>
      </c>
      <c r="F69" s="1">
        <v>0</v>
      </c>
    </row>
    <row r="70" spans="1:6" x14ac:dyDescent="0.3">
      <c r="A70" s="2">
        <v>43879</v>
      </c>
      <c r="B70" s="43">
        <v>0.3923611111111111</v>
      </c>
      <c r="C70" t="s">
        <v>652</v>
      </c>
      <c r="D70" t="s">
        <v>587</v>
      </c>
      <c r="E70" t="s">
        <v>622</v>
      </c>
      <c r="F70" s="1">
        <v>1</v>
      </c>
    </row>
    <row r="71" spans="1:6" x14ac:dyDescent="0.3">
      <c r="A71" s="2">
        <v>43879</v>
      </c>
      <c r="B71" s="43">
        <v>0.76388888888888884</v>
      </c>
      <c r="C71" t="s">
        <v>650</v>
      </c>
      <c r="D71" t="s">
        <v>590</v>
      </c>
      <c r="E71" t="s">
        <v>591</v>
      </c>
      <c r="F71" s="1">
        <v>1</v>
      </c>
    </row>
    <row r="72" spans="1:6" x14ac:dyDescent="0.3">
      <c r="A72" s="2">
        <v>43880</v>
      </c>
      <c r="B72" s="43">
        <v>0.4861111111111111</v>
      </c>
      <c r="C72" t="s">
        <v>650</v>
      </c>
      <c r="D72" t="s">
        <v>590</v>
      </c>
      <c r="E72" t="s">
        <v>622</v>
      </c>
      <c r="F72" s="1">
        <v>0</v>
      </c>
    </row>
    <row r="73" spans="1:6" x14ac:dyDescent="0.3">
      <c r="A73" s="2">
        <v>43880</v>
      </c>
      <c r="B73" s="43">
        <v>0.54513888888888895</v>
      </c>
      <c r="C73" t="s">
        <v>649</v>
      </c>
      <c r="D73" t="s">
        <v>587</v>
      </c>
      <c r="E73" t="s">
        <v>618</v>
      </c>
      <c r="F73" s="1">
        <v>0</v>
      </c>
    </row>
    <row r="74" spans="1:6" x14ac:dyDescent="0.3">
      <c r="A74" s="2">
        <v>43881</v>
      </c>
      <c r="B74" s="43">
        <v>0.62986111111111109</v>
      </c>
      <c r="C74" t="s">
        <v>650</v>
      </c>
      <c r="D74" t="s">
        <v>587</v>
      </c>
      <c r="E74" t="s">
        <v>601</v>
      </c>
      <c r="F74" s="1">
        <v>0</v>
      </c>
    </row>
    <row r="75" spans="1:6" x14ac:dyDescent="0.3">
      <c r="A75" s="2">
        <v>43881</v>
      </c>
      <c r="B75" s="43">
        <v>0.6875</v>
      </c>
      <c r="C75" t="s">
        <v>650</v>
      </c>
      <c r="D75" t="s">
        <v>604</v>
      </c>
      <c r="E75" t="s">
        <v>618</v>
      </c>
      <c r="F75" s="1">
        <v>0</v>
      </c>
    </row>
    <row r="76" spans="1:6" x14ac:dyDescent="0.3">
      <c r="A76" s="2">
        <v>43884</v>
      </c>
      <c r="B76" s="43">
        <v>0.5</v>
      </c>
      <c r="C76" t="s">
        <v>649</v>
      </c>
      <c r="D76" t="s">
        <v>588</v>
      </c>
      <c r="E76" t="s">
        <v>598</v>
      </c>
      <c r="F76" s="1">
        <v>0</v>
      </c>
    </row>
    <row r="77" spans="1:6" x14ac:dyDescent="0.3">
      <c r="A77" s="2">
        <v>43884</v>
      </c>
      <c r="B77" s="43">
        <v>0.83333333333333337</v>
      </c>
      <c r="C77" t="s">
        <v>649</v>
      </c>
      <c r="D77" t="s">
        <v>602</v>
      </c>
      <c r="E77" t="s">
        <v>586</v>
      </c>
      <c r="F77" s="1">
        <v>0</v>
      </c>
    </row>
    <row r="78" spans="1:6" x14ac:dyDescent="0.3">
      <c r="A78" s="2">
        <v>43885</v>
      </c>
      <c r="B78" s="43">
        <v>0.35069444444444442</v>
      </c>
      <c r="C78" t="s">
        <v>652</v>
      </c>
      <c r="D78" t="s">
        <v>593</v>
      </c>
      <c r="E78" t="s">
        <v>591</v>
      </c>
      <c r="F78" s="1">
        <v>1</v>
      </c>
    </row>
    <row r="79" spans="1:6" x14ac:dyDescent="0.3">
      <c r="A79" s="2">
        <v>43885</v>
      </c>
      <c r="B79" s="43">
        <v>0.55694444444444446</v>
      </c>
      <c r="C79" t="s">
        <v>649</v>
      </c>
      <c r="D79" t="s">
        <v>600</v>
      </c>
      <c r="E79" t="s">
        <v>624</v>
      </c>
      <c r="F79" s="1">
        <v>0</v>
      </c>
    </row>
    <row r="80" spans="1:6" x14ac:dyDescent="0.3">
      <c r="A80" s="2">
        <v>43885</v>
      </c>
      <c r="B80" s="43">
        <v>0.625</v>
      </c>
      <c r="C80" t="s">
        <v>649</v>
      </c>
      <c r="D80" t="s">
        <v>602</v>
      </c>
      <c r="E80" t="s">
        <v>601</v>
      </c>
      <c r="F80" s="1">
        <v>0</v>
      </c>
    </row>
    <row r="81" spans="1:6" x14ac:dyDescent="0.3">
      <c r="A81" s="2">
        <v>43886</v>
      </c>
      <c r="B81" s="43">
        <v>0.11805555555555557</v>
      </c>
      <c r="C81" t="s">
        <v>650</v>
      </c>
      <c r="D81" t="s">
        <v>588</v>
      </c>
      <c r="E81" t="s">
        <v>618</v>
      </c>
      <c r="F81" s="1">
        <v>0</v>
      </c>
    </row>
    <row r="82" spans="1:6" x14ac:dyDescent="0.3">
      <c r="A82" s="2">
        <v>43887</v>
      </c>
      <c r="B82" s="43">
        <v>0.19097222222222221</v>
      </c>
      <c r="C82" t="s">
        <v>651</v>
      </c>
      <c r="D82" t="s">
        <v>612</v>
      </c>
      <c r="E82" t="s">
        <v>586</v>
      </c>
      <c r="F82" s="1">
        <v>0</v>
      </c>
    </row>
    <row r="83" spans="1:6" x14ac:dyDescent="0.3">
      <c r="A83" s="2">
        <v>43888</v>
      </c>
      <c r="B83" s="43">
        <v>0.38194444444444442</v>
      </c>
      <c r="C83" t="s">
        <v>650</v>
      </c>
      <c r="D83" t="s">
        <v>588</v>
      </c>
      <c r="E83" t="s">
        <v>601</v>
      </c>
      <c r="F83" s="1">
        <v>0</v>
      </c>
    </row>
    <row r="84" spans="1:6" x14ac:dyDescent="0.3">
      <c r="A84" s="2">
        <v>43888</v>
      </c>
      <c r="B84" s="43">
        <v>0.48888888888888887</v>
      </c>
      <c r="C84" t="s">
        <v>649</v>
      </c>
      <c r="D84" t="s">
        <v>602</v>
      </c>
      <c r="E84" t="s">
        <v>586</v>
      </c>
      <c r="F84" s="1">
        <v>0</v>
      </c>
    </row>
    <row r="85" spans="1:6" x14ac:dyDescent="0.3">
      <c r="A85" s="2">
        <v>43888</v>
      </c>
      <c r="B85" s="43">
        <v>0.58333333333333337</v>
      </c>
      <c r="C85" t="s">
        <v>650</v>
      </c>
      <c r="D85" t="s">
        <v>595</v>
      </c>
      <c r="E85" t="s">
        <v>623</v>
      </c>
      <c r="F85" s="1">
        <v>0</v>
      </c>
    </row>
    <row r="86" spans="1:6" x14ac:dyDescent="0.3">
      <c r="A86" s="2">
        <v>43888</v>
      </c>
      <c r="B86" s="43">
        <v>0.61111111111111105</v>
      </c>
      <c r="C86" t="s">
        <v>650</v>
      </c>
      <c r="D86" t="s">
        <v>590</v>
      </c>
      <c r="E86" t="s">
        <v>618</v>
      </c>
      <c r="F86" s="1">
        <v>0</v>
      </c>
    </row>
    <row r="87" spans="1:6" x14ac:dyDescent="0.3">
      <c r="A87" s="2">
        <v>43888</v>
      </c>
      <c r="B87" s="43">
        <v>0.64513888888888882</v>
      </c>
      <c r="C87" t="s">
        <v>650</v>
      </c>
      <c r="D87" t="s">
        <v>587</v>
      </c>
      <c r="E87" t="s">
        <v>605</v>
      </c>
      <c r="F87" s="1">
        <v>0</v>
      </c>
    </row>
    <row r="88" spans="1:6" x14ac:dyDescent="0.3">
      <c r="A88" s="2">
        <v>43890</v>
      </c>
      <c r="B88" s="43">
        <v>0.41597222222222219</v>
      </c>
      <c r="C88" t="s">
        <v>649</v>
      </c>
      <c r="D88" t="s">
        <v>590</v>
      </c>
      <c r="E88" t="s">
        <v>618</v>
      </c>
      <c r="F88" s="1">
        <v>0</v>
      </c>
    </row>
    <row r="89" spans="1:6" x14ac:dyDescent="0.3">
      <c r="A89" s="2">
        <v>43891</v>
      </c>
      <c r="B89" s="43">
        <v>0.59513888888888888</v>
      </c>
      <c r="C89" t="s">
        <v>651</v>
      </c>
      <c r="D89" t="s">
        <v>620</v>
      </c>
      <c r="E89" t="s">
        <v>618</v>
      </c>
      <c r="F89" s="1">
        <v>0</v>
      </c>
    </row>
    <row r="90" spans="1:6" x14ac:dyDescent="0.3">
      <c r="A90" s="2">
        <v>43892</v>
      </c>
      <c r="B90" s="43">
        <v>0.36249999999999999</v>
      </c>
      <c r="C90" t="s">
        <v>650</v>
      </c>
      <c r="D90" t="s">
        <v>590</v>
      </c>
      <c r="E90" t="s">
        <v>618</v>
      </c>
      <c r="F90" s="1">
        <v>0</v>
      </c>
    </row>
    <row r="91" spans="1:6" x14ac:dyDescent="0.3">
      <c r="A91" s="2">
        <v>43892</v>
      </c>
      <c r="B91" s="43">
        <v>0.36805555555555558</v>
      </c>
      <c r="C91" t="s">
        <v>649</v>
      </c>
      <c r="D91" t="s">
        <v>587</v>
      </c>
      <c r="E91" t="s">
        <v>601</v>
      </c>
      <c r="F91" s="1">
        <v>0</v>
      </c>
    </row>
    <row r="92" spans="1:6" x14ac:dyDescent="0.3">
      <c r="A92" s="2">
        <v>43892</v>
      </c>
      <c r="B92" s="43">
        <v>0.49305555555555558</v>
      </c>
      <c r="C92" t="s">
        <v>650</v>
      </c>
      <c r="D92" t="s">
        <v>587</v>
      </c>
      <c r="E92" t="s">
        <v>618</v>
      </c>
      <c r="F92" s="1">
        <v>0</v>
      </c>
    </row>
    <row r="93" spans="1:6" x14ac:dyDescent="0.3">
      <c r="A93" s="2">
        <v>43893</v>
      </c>
      <c r="B93" s="43">
        <v>0.45833333333333331</v>
      </c>
      <c r="C93" t="s">
        <v>649</v>
      </c>
      <c r="D93" t="s">
        <v>599</v>
      </c>
      <c r="E93" t="s">
        <v>618</v>
      </c>
      <c r="F93" s="1">
        <v>0</v>
      </c>
    </row>
    <row r="94" spans="1:6" x14ac:dyDescent="0.3">
      <c r="A94" s="2">
        <v>43893</v>
      </c>
      <c r="B94" s="43">
        <v>0.51111111111111118</v>
      </c>
      <c r="C94" t="s">
        <v>650</v>
      </c>
      <c r="D94" t="s">
        <v>587</v>
      </c>
      <c r="E94" t="s">
        <v>586</v>
      </c>
      <c r="F94" s="1">
        <v>0</v>
      </c>
    </row>
    <row r="95" spans="1:6" x14ac:dyDescent="0.3">
      <c r="A95" s="2">
        <v>43894</v>
      </c>
      <c r="B95" s="43">
        <v>0.52708333333333335</v>
      </c>
      <c r="C95" t="s">
        <v>652</v>
      </c>
      <c r="D95" t="s">
        <v>587</v>
      </c>
      <c r="E95" t="s">
        <v>586</v>
      </c>
      <c r="F95" s="1">
        <v>0</v>
      </c>
    </row>
    <row r="96" spans="1:6" x14ac:dyDescent="0.3">
      <c r="A96" s="2">
        <v>43894</v>
      </c>
      <c r="B96" s="43">
        <v>0.79166666666666663</v>
      </c>
      <c r="C96" t="s">
        <v>649</v>
      </c>
      <c r="D96" t="s">
        <v>600</v>
      </c>
      <c r="E96" t="s">
        <v>586</v>
      </c>
      <c r="F96" s="1">
        <v>0</v>
      </c>
    </row>
    <row r="97" spans="1:6" x14ac:dyDescent="0.3">
      <c r="A97" s="2">
        <v>43895</v>
      </c>
      <c r="B97" s="43">
        <v>0.70138888888888884</v>
      </c>
      <c r="C97" t="s">
        <v>649</v>
      </c>
      <c r="D97" t="s">
        <v>587</v>
      </c>
      <c r="E97" t="s">
        <v>622</v>
      </c>
      <c r="F97" s="1">
        <v>0</v>
      </c>
    </row>
    <row r="98" spans="1:6" x14ac:dyDescent="0.3">
      <c r="A98" s="2">
        <v>43896</v>
      </c>
      <c r="B98" s="43">
        <v>0.19791666666666666</v>
      </c>
      <c r="C98" t="s">
        <v>649</v>
      </c>
      <c r="D98" t="s">
        <v>590</v>
      </c>
      <c r="E98" t="s">
        <v>605</v>
      </c>
      <c r="F98" s="1">
        <v>0</v>
      </c>
    </row>
    <row r="99" spans="1:6" x14ac:dyDescent="0.3">
      <c r="A99" s="2">
        <v>43896</v>
      </c>
      <c r="B99" s="43">
        <v>0.2986111111111111</v>
      </c>
      <c r="C99" t="s">
        <v>649</v>
      </c>
      <c r="D99" t="s">
        <v>587</v>
      </c>
      <c r="E99" t="s">
        <v>605</v>
      </c>
      <c r="F99" s="1">
        <v>0</v>
      </c>
    </row>
    <row r="100" spans="1:6" x14ac:dyDescent="0.3">
      <c r="A100" s="2">
        <v>43896</v>
      </c>
      <c r="B100" s="43">
        <v>0.55625000000000002</v>
      </c>
      <c r="C100" t="s">
        <v>650</v>
      </c>
      <c r="D100" t="s">
        <v>611</v>
      </c>
      <c r="E100" t="s">
        <v>622</v>
      </c>
      <c r="F100" s="1">
        <v>0</v>
      </c>
    </row>
    <row r="101" spans="1:6" x14ac:dyDescent="0.3">
      <c r="A101" s="2">
        <v>43896</v>
      </c>
      <c r="B101" s="43">
        <v>0.70138888888888884</v>
      </c>
      <c r="C101" t="s">
        <v>650</v>
      </c>
      <c r="D101" t="s">
        <v>587</v>
      </c>
      <c r="E101" t="s">
        <v>618</v>
      </c>
      <c r="F101" s="1">
        <v>0</v>
      </c>
    </row>
    <row r="102" spans="1:6" x14ac:dyDescent="0.3">
      <c r="A102" s="2">
        <v>43897</v>
      </c>
      <c r="B102" s="43">
        <v>0.4993055555555555</v>
      </c>
      <c r="C102" t="s">
        <v>651</v>
      </c>
      <c r="D102" t="s">
        <v>611</v>
      </c>
      <c r="E102" t="s">
        <v>586</v>
      </c>
      <c r="F102" s="1">
        <v>0</v>
      </c>
    </row>
    <row r="103" spans="1:6" x14ac:dyDescent="0.3">
      <c r="A103" s="2">
        <v>43898</v>
      </c>
      <c r="B103" s="43">
        <v>0.15972222222222224</v>
      </c>
      <c r="C103" t="s">
        <v>650</v>
      </c>
      <c r="D103" t="s">
        <v>590</v>
      </c>
      <c r="E103" t="s">
        <v>618</v>
      </c>
      <c r="F103" s="1">
        <v>0</v>
      </c>
    </row>
    <row r="104" spans="1:6" x14ac:dyDescent="0.3">
      <c r="A104" s="2">
        <v>43898</v>
      </c>
      <c r="B104" s="43">
        <v>0.5</v>
      </c>
      <c r="C104" t="s">
        <v>649</v>
      </c>
      <c r="D104" t="s">
        <v>590</v>
      </c>
      <c r="E104" t="s">
        <v>618</v>
      </c>
      <c r="F104" s="1">
        <v>0</v>
      </c>
    </row>
    <row r="105" spans="1:6" x14ac:dyDescent="0.3">
      <c r="A105" s="2">
        <v>43899</v>
      </c>
      <c r="B105" s="43">
        <v>0.44791666666666669</v>
      </c>
      <c r="C105" t="s">
        <v>650</v>
      </c>
      <c r="D105" t="s">
        <v>587</v>
      </c>
      <c r="E105" t="s">
        <v>618</v>
      </c>
      <c r="F105" s="1">
        <v>0</v>
      </c>
    </row>
    <row r="106" spans="1:6" x14ac:dyDescent="0.3">
      <c r="A106" s="2">
        <v>43899</v>
      </c>
      <c r="B106" s="43">
        <v>0.57291666666666663</v>
      </c>
      <c r="C106" t="s">
        <v>652</v>
      </c>
      <c r="D106" t="s">
        <v>592</v>
      </c>
      <c r="E106" t="s">
        <v>586</v>
      </c>
      <c r="F106" s="1">
        <v>0</v>
      </c>
    </row>
    <row r="107" spans="1:6" x14ac:dyDescent="0.3">
      <c r="A107" s="2">
        <v>43899</v>
      </c>
      <c r="B107" s="43">
        <v>0.65555555555555556</v>
      </c>
      <c r="C107" t="s">
        <v>650</v>
      </c>
      <c r="D107" t="s">
        <v>613</v>
      </c>
      <c r="E107" t="s">
        <v>586</v>
      </c>
      <c r="F107" s="1">
        <v>0</v>
      </c>
    </row>
    <row r="108" spans="1:6" x14ac:dyDescent="0.3">
      <c r="A108" s="2">
        <v>43900</v>
      </c>
      <c r="B108" s="43">
        <v>0.25555555555555559</v>
      </c>
      <c r="C108" t="s">
        <v>651</v>
      </c>
      <c r="D108" t="s">
        <v>602</v>
      </c>
      <c r="E108" t="s">
        <v>605</v>
      </c>
      <c r="F108" s="1">
        <v>0</v>
      </c>
    </row>
    <row r="109" spans="1:6" x14ac:dyDescent="0.3">
      <c r="A109" s="2">
        <v>43902</v>
      </c>
      <c r="B109" s="43">
        <v>0.39583333333333331</v>
      </c>
      <c r="C109" t="s">
        <v>649</v>
      </c>
      <c r="D109" t="s">
        <v>590</v>
      </c>
      <c r="E109" t="s">
        <v>618</v>
      </c>
      <c r="F109" s="1">
        <v>0</v>
      </c>
    </row>
    <row r="110" spans="1:6" x14ac:dyDescent="0.3">
      <c r="A110" s="2">
        <v>43902</v>
      </c>
      <c r="B110" s="43">
        <v>0.57291666666666663</v>
      </c>
      <c r="C110" t="s">
        <v>649</v>
      </c>
      <c r="D110" t="s">
        <v>588</v>
      </c>
      <c r="E110" t="s">
        <v>598</v>
      </c>
      <c r="F110" s="1">
        <v>0</v>
      </c>
    </row>
    <row r="111" spans="1:6" x14ac:dyDescent="0.3">
      <c r="A111" s="2">
        <v>43902</v>
      </c>
      <c r="B111" s="43">
        <v>0.94791666666666663</v>
      </c>
      <c r="C111" t="s">
        <v>650</v>
      </c>
      <c r="D111" t="s">
        <v>587</v>
      </c>
      <c r="E111" t="s">
        <v>586</v>
      </c>
      <c r="F111" s="1">
        <v>1</v>
      </c>
    </row>
    <row r="112" spans="1:6" x14ac:dyDescent="0.3">
      <c r="A112" s="2">
        <v>43904</v>
      </c>
      <c r="B112" s="43">
        <v>0.21875</v>
      </c>
      <c r="C112" t="s">
        <v>649</v>
      </c>
      <c r="D112" t="s">
        <v>609</v>
      </c>
      <c r="E112" t="s">
        <v>608</v>
      </c>
      <c r="F112" s="1">
        <v>0</v>
      </c>
    </row>
    <row r="113" spans="1:6" x14ac:dyDescent="0.3">
      <c r="A113" s="2">
        <v>43904</v>
      </c>
      <c r="B113" s="43">
        <v>0.33749999999999997</v>
      </c>
      <c r="C113" t="s">
        <v>649</v>
      </c>
      <c r="D113" t="s">
        <v>602</v>
      </c>
      <c r="E113" t="s">
        <v>622</v>
      </c>
      <c r="F113" s="1">
        <v>0</v>
      </c>
    </row>
    <row r="114" spans="1:6" x14ac:dyDescent="0.3">
      <c r="A114" s="2">
        <v>43908</v>
      </c>
      <c r="B114" s="43">
        <v>0.43055555555555558</v>
      </c>
      <c r="C114" t="s">
        <v>652</v>
      </c>
      <c r="D114" t="s">
        <v>587</v>
      </c>
      <c r="E114" t="s">
        <v>624</v>
      </c>
      <c r="F114" s="1">
        <v>0</v>
      </c>
    </row>
    <row r="115" spans="1:6" x14ac:dyDescent="0.3">
      <c r="A115" s="2">
        <v>43908</v>
      </c>
      <c r="B115" s="43">
        <v>0.52083333333333337</v>
      </c>
      <c r="C115" t="s">
        <v>650</v>
      </c>
      <c r="D115" t="s">
        <v>599</v>
      </c>
      <c r="E115" t="s">
        <v>601</v>
      </c>
      <c r="F115" s="1">
        <v>0</v>
      </c>
    </row>
    <row r="116" spans="1:6" x14ac:dyDescent="0.3">
      <c r="A116" s="2">
        <v>43908</v>
      </c>
      <c r="B116" s="43">
        <v>0.57291666666666663</v>
      </c>
      <c r="C116" t="s">
        <v>652</v>
      </c>
      <c r="D116" t="s">
        <v>590</v>
      </c>
      <c r="E116" t="s">
        <v>586</v>
      </c>
      <c r="F116" s="1">
        <v>0</v>
      </c>
    </row>
    <row r="117" spans="1:6" x14ac:dyDescent="0.3">
      <c r="A117" s="2">
        <v>43908</v>
      </c>
      <c r="B117" s="43">
        <v>0.66111111111111109</v>
      </c>
      <c r="C117" t="s">
        <v>652</v>
      </c>
      <c r="D117" t="s">
        <v>594</v>
      </c>
      <c r="E117" t="s">
        <v>586</v>
      </c>
      <c r="F117" s="1">
        <v>0</v>
      </c>
    </row>
    <row r="118" spans="1:6" x14ac:dyDescent="0.3">
      <c r="A118" s="2">
        <v>43909</v>
      </c>
      <c r="B118" s="43">
        <v>0.55555555555555558</v>
      </c>
      <c r="C118" t="s">
        <v>649</v>
      </c>
      <c r="D118" t="s">
        <v>587</v>
      </c>
      <c r="E118" t="s">
        <v>605</v>
      </c>
      <c r="F118" s="1">
        <v>0</v>
      </c>
    </row>
    <row r="119" spans="1:6" x14ac:dyDescent="0.3">
      <c r="A119" s="2">
        <v>43909</v>
      </c>
      <c r="B119" s="43">
        <v>0.74930555555555556</v>
      </c>
      <c r="C119" t="s">
        <v>651</v>
      </c>
      <c r="D119" t="s">
        <v>587</v>
      </c>
      <c r="E119" t="s">
        <v>598</v>
      </c>
      <c r="F119" s="1">
        <v>0</v>
      </c>
    </row>
    <row r="120" spans="1:6" x14ac:dyDescent="0.3">
      <c r="A120" s="2">
        <v>43910</v>
      </c>
      <c r="B120" s="43">
        <v>0.83333333333333337</v>
      </c>
      <c r="C120" t="s">
        <v>651</v>
      </c>
      <c r="D120" t="s">
        <v>590</v>
      </c>
      <c r="E120" t="s">
        <v>586</v>
      </c>
      <c r="F120" s="1">
        <v>0</v>
      </c>
    </row>
    <row r="121" spans="1:6" x14ac:dyDescent="0.3">
      <c r="A121" s="2">
        <v>43914</v>
      </c>
      <c r="B121" s="43">
        <v>0.60763888888888895</v>
      </c>
      <c r="C121" t="s">
        <v>652</v>
      </c>
      <c r="D121" t="s">
        <v>590</v>
      </c>
      <c r="E121" t="s">
        <v>618</v>
      </c>
      <c r="F121" s="1">
        <v>0</v>
      </c>
    </row>
    <row r="122" spans="1:6" x14ac:dyDescent="0.3">
      <c r="A122" s="2">
        <v>43915</v>
      </c>
      <c r="B122" s="43">
        <v>0.8041666666666667</v>
      </c>
      <c r="C122" t="s">
        <v>650</v>
      </c>
      <c r="D122" t="s">
        <v>587</v>
      </c>
      <c r="E122" t="s">
        <v>608</v>
      </c>
      <c r="F122" s="1">
        <v>0</v>
      </c>
    </row>
    <row r="123" spans="1:6" x14ac:dyDescent="0.3">
      <c r="A123" s="2">
        <v>43915</v>
      </c>
      <c r="B123" s="43">
        <v>0.8569444444444444</v>
      </c>
      <c r="C123" t="s">
        <v>651</v>
      </c>
      <c r="D123" t="s">
        <v>602</v>
      </c>
      <c r="E123" t="s">
        <v>586</v>
      </c>
      <c r="F123" s="1">
        <v>0</v>
      </c>
    </row>
    <row r="124" spans="1:6" x14ac:dyDescent="0.3">
      <c r="A124" s="2">
        <v>43916</v>
      </c>
      <c r="B124" s="43">
        <v>0.47916666666666669</v>
      </c>
      <c r="C124" t="s">
        <v>649</v>
      </c>
      <c r="D124" t="s">
        <v>588</v>
      </c>
      <c r="E124" t="s">
        <v>618</v>
      </c>
      <c r="F124" s="1">
        <v>0</v>
      </c>
    </row>
    <row r="125" spans="1:6" x14ac:dyDescent="0.3">
      <c r="A125" s="2">
        <v>43916</v>
      </c>
      <c r="B125" s="43">
        <v>0.50347222222222221</v>
      </c>
      <c r="C125" t="s">
        <v>652</v>
      </c>
      <c r="D125" t="s">
        <v>587</v>
      </c>
      <c r="E125" t="s">
        <v>586</v>
      </c>
      <c r="F125" s="1">
        <v>0</v>
      </c>
    </row>
    <row r="126" spans="1:6" x14ac:dyDescent="0.3">
      <c r="A126" s="2">
        <v>43922</v>
      </c>
      <c r="B126" s="43">
        <v>0.56736111111111109</v>
      </c>
      <c r="C126" t="s">
        <v>650</v>
      </c>
      <c r="D126" t="s">
        <v>587</v>
      </c>
      <c r="E126" t="s">
        <v>586</v>
      </c>
      <c r="F126" s="1">
        <v>0</v>
      </c>
    </row>
    <row r="127" spans="1:6" x14ac:dyDescent="0.3">
      <c r="A127" s="2">
        <v>43924</v>
      </c>
      <c r="B127" s="43">
        <v>0.43194444444444446</v>
      </c>
      <c r="C127" t="s">
        <v>652</v>
      </c>
      <c r="D127" t="s">
        <v>606</v>
      </c>
      <c r="E127" t="s">
        <v>618</v>
      </c>
      <c r="F127" s="1">
        <v>0</v>
      </c>
    </row>
    <row r="128" spans="1:6" x14ac:dyDescent="0.3">
      <c r="A128" s="2">
        <v>43931</v>
      </c>
      <c r="B128" s="43">
        <v>0.63888888888888895</v>
      </c>
      <c r="C128" t="s">
        <v>650</v>
      </c>
      <c r="D128" t="s">
        <v>590</v>
      </c>
      <c r="E128" t="s">
        <v>586</v>
      </c>
      <c r="F128" s="1">
        <v>2</v>
      </c>
    </row>
    <row r="129" spans="1:6" x14ac:dyDescent="0.3">
      <c r="A129" s="2">
        <v>43944</v>
      </c>
      <c r="B129" s="43">
        <v>0.64583333333333337</v>
      </c>
      <c r="C129" t="s">
        <v>652</v>
      </c>
      <c r="D129" t="s">
        <v>590</v>
      </c>
      <c r="E129" t="s">
        <v>598</v>
      </c>
      <c r="F129" s="1">
        <v>0</v>
      </c>
    </row>
    <row r="130" spans="1:6" x14ac:dyDescent="0.3">
      <c r="A130" s="2">
        <v>43945</v>
      </c>
      <c r="B130" s="43">
        <v>0.85902777777777783</v>
      </c>
      <c r="C130" t="s">
        <v>651</v>
      </c>
      <c r="D130" t="s">
        <v>587</v>
      </c>
      <c r="E130" t="s">
        <v>622</v>
      </c>
      <c r="F130" s="1">
        <v>0</v>
      </c>
    </row>
    <row r="131" spans="1:6" x14ac:dyDescent="0.3">
      <c r="A131" s="2">
        <v>43950</v>
      </c>
      <c r="B131" s="43">
        <v>0.5</v>
      </c>
      <c r="C131" t="s">
        <v>651</v>
      </c>
      <c r="D131" t="s">
        <v>585</v>
      </c>
      <c r="E131" t="s">
        <v>586</v>
      </c>
      <c r="F131" s="1">
        <v>0</v>
      </c>
    </row>
    <row r="132" spans="1:6" x14ac:dyDescent="0.3">
      <c r="A132" s="2">
        <v>43951</v>
      </c>
      <c r="B132" s="43">
        <v>0.17708333333333334</v>
      </c>
      <c r="C132" t="s">
        <v>651</v>
      </c>
      <c r="D132" t="s">
        <v>587</v>
      </c>
      <c r="E132" t="s">
        <v>618</v>
      </c>
      <c r="F132" s="1">
        <v>0</v>
      </c>
    </row>
    <row r="133" spans="1:6" x14ac:dyDescent="0.3">
      <c r="A133" s="2">
        <v>43951</v>
      </c>
      <c r="B133" s="43">
        <v>0.24305555555555555</v>
      </c>
      <c r="C133" t="s">
        <v>651</v>
      </c>
      <c r="D133" t="s">
        <v>587</v>
      </c>
      <c r="E133" t="s">
        <v>624</v>
      </c>
      <c r="F133" s="1">
        <v>0</v>
      </c>
    </row>
    <row r="134" spans="1:6" x14ac:dyDescent="0.3">
      <c r="A134" s="2">
        <v>43953</v>
      </c>
      <c r="B134" s="43">
        <v>0.4861111111111111</v>
      </c>
      <c r="C134" t="s">
        <v>651</v>
      </c>
      <c r="D134" t="s">
        <v>594</v>
      </c>
      <c r="E134" t="s">
        <v>591</v>
      </c>
      <c r="F134" s="1">
        <v>1</v>
      </c>
    </row>
    <row r="135" spans="1:6" x14ac:dyDescent="0.3">
      <c r="A135" s="2">
        <v>43954</v>
      </c>
      <c r="B135" s="43">
        <v>0.48958333333333331</v>
      </c>
      <c r="C135" t="s">
        <v>649</v>
      </c>
      <c r="D135" t="s">
        <v>599</v>
      </c>
      <c r="E135" t="s">
        <v>624</v>
      </c>
      <c r="F135" s="1">
        <v>0</v>
      </c>
    </row>
    <row r="136" spans="1:6" x14ac:dyDescent="0.3">
      <c r="A136" s="2">
        <v>43954</v>
      </c>
      <c r="B136" s="43">
        <v>0.55208333333333337</v>
      </c>
      <c r="C136" t="s">
        <v>652</v>
      </c>
      <c r="D136" t="s">
        <v>599</v>
      </c>
      <c r="E136" t="s">
        <v>586</v>
      </c>
      <c r="F136" s="1">
        <v>0</v>
      </c>
    </row>
    <row r="137" spans="1:6" x14ac:dyDescent="0.3">
      <c r="A137" s="2">
        <v>43954</v>
      </c>
      <c r="B137" s="43">
        <v>0.83680555555555547</v>
      </c>
      <c r="C137" t="s">
        <v>650</v>
      </c>
      <c r="D137" t="s">
        <v>599</v>
      </c>
      <c r="E137" t="s">
        <v>586</v>
      </c>
      <c r="F137" s="1">
        <v>0</v>
      </c>
    </row>
    <row r="138" spans="1:6" x14ac:dyDescent="0.3">
      <c r="A138" s="2">
        <v>43961</v>
      </c>
      <c r="B138" s="43">
        <v>0.76527777777777783</v>
      </c>
      <c r="C138" t="s">
        <v>652</v>
      </c>
      <c r="D138" t="s">
        <v>590</v>
      </c>
      <c r="E138" t="s">
        <v>586</v>
      </c>
      <c r="F138" s="1">
        <v>0</v>
      </c>
    </row>
    <row r="139" spans="1:6" x14ac:dyDescent="0.3">
      <c r="A139" s="2">
        <v>43962</v>
      </c>
      <c r="B139" s="43">
        <v>0.39583333333333331</v>
      </c>
      <c r="C139" t="s">
        <v>652</v>
      </c>
      <c r="D139" t="s">
        <v>590</v>
      </c>
      <c r="E139" t="s">
        <v>618</v>
      </c>
      <c r="F139" s="1">
        <v>0</v>
      </c>
    </row>
    <row r="140" spans="1:6" x14ac:dyDescent="0.3">
      <c r="A140" s="2">
        <v>43962</v>
      </c>
      <c r="B140" s="43">
        <v>0.50208333333333333</v>
      </c>
      <c r="C140" t="s">
        <v>649</v>
      </c>
      <c r="D140" t="s">
        <v>587</v>
      </c>
      <c r="E140" t="s">
        <v>603</v>
      </c>
      <c r="F140" s="1">
        <v>0</v>
      </c>
    </row>
    <row r="141" spans="1:6" x14ac:dyDescent="0.3">
      <c r="A141" s="2">
        <v>43963</v>
      </c>
      <c r="B141" s="43">
        <v>0.38194444444444442</v>
      </c>
      <c r="C141" t="s">
        <v>649</v>
      </c>
      <c r="D141" t="s">
        <v>587</v>
      </c>
      <c r="E141" t="s">
        <v>591</v>
      </c>
      <c r="F141" s="1">
        <v>0</v>
      </c>
    </row>
    <row r="142" spans="1:6" x14ac:dyDescent="0.3">
      <c r="A142" s="2">
        <v>43965</v>
      </c>
      <c r="B142" s="43">
        <v>0.41666666666666669</v>
      </c>
      <c r="C142" t="s">
        <v>650</v>
      </c>
      <c r="D142" t="s">
        <v>587</v>
      </c>
      <c r="E142" t="s">
        <v>586</v>
      </c>
      <c r="F142" s="1">
        <v>0</v>
      </c>
    </row>
    <row r="143" spans="1:6" x14ac:dyDescent="0.3">
      <c r="A143" s="2">
        <v>43968</v>
      </c>
      <c r="B143" s="43">
        <v>0.91319444444444453</v>
      </c>
      <c r="C143" t="s">
        <v>650</v>
      </c>
      <c r="D143" t="s">
        <v>587</v>
      </c>
      <c r="E143" t="s">
        <v>618</v>
      </c>
      <c r="F143" s="1">
        <v>0</v>
      </c>
    </row>
    <row r="144" spans="1:6" x14ac:dyDescent="0.3">
      <c r="A144" s="2">
        <v>43969</v>
      </c>
      <c r="B144" s="43">
        <v>0.45833333333333331</v>
      </c>
      <c r="C144" t="s">
        <v>650</v>
      </c>
      <c r="D144" t="s">
        <v>609</v>
      </c>
      <c r="E144" t="s">
        <v>586</v>
      </c>
      <c r="F144" s="1">
        <v>0</v>
      </c>
    </row>
    <row r="145" spans="1:6" x14ac:dyDescent="0.3">
      <c r="A145" s="2">
        <v>43971</v>
      </c>
      <c r="B145" s="43">
        <v>0.12986111111111112</v>
      </c>
      <c r="C145" t="s">
        <v>652</v>
      </c>
      <c r="D145" t="s">
        <v>614</v>
      </c>
      <c r="E145" t="s">
        <v>586</v>
      </c>
      <c r="F145" s="1">
        <v>0</v>
      </c>
    </row>
    <row r="146" spans="1:6" x14ac:dyDescent="0.3">
      <c r="A146" s="2">
        <v>43971</v>
      </c>
      <c r="B146" s="43">
        <v>0.13194444444444445</v>
      </c>
      <c r="C146" t="s">
        <v>650</v>
      </c>
      <c r="D146" t="s">
        <v>585</v>
      </c>
      <c r="E146" t="s">
        <v>586</v>
      </c>
      <c r="F146" s="1">
        <v>0</v>
      </c>
    </row>
    <row r="147" spans="1:6" x14ac:dyDescent="0.3">
      <c r="A147" s="2">
        <v>43977</v>
      </c>
      <c r="B147" s="43">
        <v>0.43541666666666662</v>
      </c>
      <c r="C147" t="s">
        <v>650</v>
      </c>
      <c r="D147" t="s">
        <v>606</v>
      </c>
      <c r="E147" t="s">
        <v>618</v>
      </c>
      <c r="F147" s="1">
        <v>0</v>
      </c>
    </row>
    <row r="148" spans="1:6" x14ac:dyDescent="0.3">
      <c r="A148" s="2">
        <v>43977</v>
      </c>
      <c r="B148" s="43">
        <v>0.4375</v>
      </c>
      <c r="C148" t="s">
        <v>651</v>
      </c>
      <c r="D148" t="s">
        <v>606</v>
      </c>
      <c r="E148" t="s">
        <v>618</v>
      </c>
      <c r="F148" s="1">
        <v>0</v>
      </c>
    </row>
    <row r="149" spans="1:6" x14ac:dyDescent="0.3">
      <c r="A149" s="2">
        <v>43979</v>
      </c>
      <c r="B149" s="43">
        <v>0.69791666666666663</v>
      </c>
      <c r="C149" t="s">
        <v>650</v>
      </c>
      <c r="D149" t="s">
        <v>590</v>
      </c>
      <c r="E149" t="s">
        <v>624</v>
      </c>
      <c r="F149" s="1">
        <v>0</v>
      </c>
    </row>
    <row r="150" spans="1:6" x14ac:dyDescent="0.3">
      <c r="A150" s="2">
        <v>43984</v>
      </c>
      <c r="B150" s="43">
        <v>0.45833333333333331</v>
      </c>
      <c r="C150" t="s">
        <v>649</v>
      </c>
      <c r="D150" t="s">
        <v>587</v>
      </c>
      <c r="E150" t="s">
        <v>586</v>
      </c>
      <c r="F150" s="1">
        <v>0</v>
      </c>
    </row>
    <row r="151" spans="1:6" x14ac:dyDescent="0.3">
      <c r="A151" s="2">
        <v>43984</v>
      </c>
      <c r="B151" s="43">
        <v>0.75</v>
      </c>
      <c r="C151" t="s">
        <v>650</v>
      </c>
      <c r="D151" t="s">
        <v>590</v>
      </c>
      <c r="E151" t="s">
        <v>591</v>
      </c>
      <c r="F151" s="1">
        <v>0</v>
      </c>
    </row>
    <row r="152" spans="1:6" x14ac:dyDescent="0.3">
      <c r="A152" s="2">
        <v>43985</v>
      </c>
      <c r="B152" s="43">
        <v>0.625</v>
      </c>
      <c r="C152" t="s">
        <v>650</v>
      </c>
      <c r="D152" t="s">
        <v>611</v>
      </c>
      <c r="E152" t="s">
        <v>586</v>
      </c>
      <c r="F152" s="1">
        <v>0</v>
      </c>
    </row>
    <row r="153" spans="1:6" x14ac:dyDescent="0.3">
      <c r="A153" s="2">
        <v>43986</v>
      </c>
      <c r="B153" s="43">
        <v>0.5</v>
      </c>
      <c r="C153" t="s">
        <v>652</v>
      </c>
      <c r="D153" t="s">
        <v>599</v>
      </c>
      <c r="E153" t="s">
        <v>586</v>
      </c>
      <c r="F153" s="1">
        <v>0</v>
      </c>
    </row>
    <row r="154" spans="1:6" x14ac:dyDescent="0.3">
      <c r="A154" s="2">
        <v>43987</v>
      </c>
      <c r="B154" s="43">
        <v>0.33194444444444443</v>
      </c>
      <c r="C154" t="s">
        <v>652</v>
      </c>
      <c r="D154" t="s">
        <v>588</v>
      </c>
      <c r="E154" t="s">
        <v>586</v>
      </c>
      <c r="F154" s="1">
        <v>0</v>
      </c>
    </row>
    <row r="155" spans="1:6" x14ac:dyDescent="0.3">
      <c r="A155" s="2">
        <v>43987</v>
      </c>
      <c r="B155" s="43">
        <v>0.55902777777777779</v>
      </c>
      <c r="C155" t="s">
        <v>652</v>
      </c>
      <c r="D155" t="s">
        <v>588</v>
      </c>
      <c r="E155" t="s">
        <v>598</v>
      </c>
      <c r="F155" s="1">
        <v>0</v>
      </c>
    </row>
    <row r="156" spans="1:6" x14ac:dyDescent="0.3">
      <c r="A156" s="2">
        <v>43991</v>
      </c>
      <c r="B156" s="43">
        <v>0.5</v>
      </c>
      <c r="C156" t="s">
        <v>652</v>
      </c>
      <c r="D156" t="s">
        <v>588</v>
      </c>
      <c r="E156" t="s">
        <v>586</v>
      </c>
      <c r="F156" s="1">
        <v>0</v>
      </c>
    </row>
    <row r="157" spans="1:6" x14ac:dyDescent="0.3">
      <c r="A157" s="2">
        <v>43991</v>
      </c>
      <c r="B157" s="43">
        <v>0.61041666666666672</v>
      </c>
      <c r="C157" t="s">
        <v>651</v>
      </c>
      <c r="D157" t="s">
        <v>592</v>
      </c>
      <c r="E157" t="s">
        <v>618</v>
      </c>
      <c r="F157" s="1">
        <v>0</v>
      </c>
    </row>
    <row r="158" spans="1:6" x14ac:dyDescent="0.3">
      <c r="A158" s="2">
        <v>43991</v>
      </c>
      <c r="B158" s="43">
        <v>0.82291666666666663</v>
      </c>
      <c r="C158" t="s">
        <v>650</v>
      </c>
      <c r="D158" t="s">
        <v>587</v>
      </c>
      <c r="E158" t="s">
        <v>586</v>
      </c>
      <c r="F158" s="1">
        <v>1</v>
      </c>
    </row>
    <row r="159" spans="1:6" x14ac:dyDescent="0.3">
      <c r="A159" s="2">
        <v>43993</v>
      </c>
      <c r="B159" s="43">
        <v>0.42152777777777778</v>
      </c>
      <c r="C159" t="s">
        <v>651</v>
      </c>
      <c r="D159" t="s">
        <v>587</v>
      </c>
      <c r="E159" t="s">
        <v>586</v>
      </c>
      <c r="F159" s="1">
        <v>0</v>
      </c>
    </row>
    <row r="160" spans="1:6" x14ac:dyDescent="0.3">
      <c r="A160" s="2">
        <v>43993</v>
      </c>
      <c r="B160" s="43">
        <v>0.54861111111111105</v>
      </c>
      <c r="C160" t="s">
        <v>650</v>
      </c>
      <c r="D160" t="s">
        <v>604</v>
      </c>
      <c r="E160" t="s">
        <v>605</v>
      </c>
      <c r="F160" s="1">
        <v>0</v>
      </c>
    </row>
    <row r="161" spans="1:6" x14ac:dyDescent="0.3">
      <c r="A161" s="2">
        <v>43994</v>
      </c>
      <c r="B161" s="43">
        <v>0.39374999999999999</v>
      </c>
      <c r="C161" t="s">
        <v>651</v>
      </c>
      <c r="D161" t="s">
        <v>615</v>
      </c>
      <c r="E161" t="s">
        <v>586</v>
      </c>
      <c r="F161" s="1">
        <v>0</v>
      </c>
    </row>
    <row r="162" spans="1:6" x14ac:dyDescent="0.3">
      <c r="A162" s="2">
        <v>43994</v>
      </c>
      <c r="B162" s="43">
        <v>0.54027777777777775</v>
      </c>
      <c r="C162" t="s">
        <v>649</v>
      </c>
      <c r="D162" t="s">
        <v>587</v>
      </c>
      <c r="E162" t="s">
        <v>586</v>
      </c>
      <c r="F162" s="1">
        <v>1</v>
      </c>
    </row>
    <row r="163" spans="1:6" x14ac:dyDescent="0.3">
      <c r="A163" s="2">
        <v>43998</v>
      </c>
      <c r="B163" s="43">
        <v>0.44444444444444442</v>
      </c>
      <c r="C163" t="s">
        <v>652</v>
      </c>
      <c r="D163" t="s">
        <v>590</v>
      </c>
      <c r="E163" t="s">
        <v>618</v>
      </c>
      <c r="F163" s="1">
        <v>4</v>
      </c>
    </row>
    <row r="164" spans="1:6" x14ac:dyDescent="0.3">
      <c r="A164" s="2">
        <v>43999</v>
      </c>
      <c r="B164" s="43">
        <v>0.66666666666666663</v>
      </c>
      <c r="C164" t="s">
        <v>650</v>
      </c>
      <c r="D164" t="s">
        <v>587</v>
      </c>
      <c r="E164" t="s">
        <v>608</v>
      </c>
      <c r="F164" s="1">
        <v>1</v>
      </c>
    </row>
    <row r="165" spans="1:6" x14ac:dyDescent="0.3">
      <c r="A165" s="2">
        <v>44002</v>
      </c>
      <c r="B165" s="43">
        <v>0.59027777777777779</v>
      </c>
      <c r="C165" t="s">
        <v>652</v>
      </c>
      <c r="D165" t="s">
        <v>616</v>
      </c>
      <c r="E165" t="s">
        <v>586</v>
      </c>
      <c r="F165" s="1">
        <v>0</v>
      </c>
    </row>
    <row r="166" spans="1:6" x14ac:dyDescent="0.3">
      <c r="A166" s="2">
        <v>44002</v>
      </c>
      <c r="B166" s="43">
        <v>0.72986111111111107</v>
      </c>
      <c r="C166" t="s">
        <v>650</v>
      </c>
      <c r="D166" t="s">
        <v>590</v>
      </c>
      <c r="E166" t="s">
        <v>586</v>
      </c>
      <c r="F166" s="1">
        <v>0</v>
      </c>
    </row>
    <row r="167" spans="1:6" x14ac:dyDescent="0.3">
      <c r="A167" s="2">
        <v>44004</v>
      </c>
      <c r="B167" s="43">
        <v>0.51736111111111105</v>
      </c>
      <c r="C167" t="s">
        <v>650</v>
      </c>
      <c r="D167" t="s">
        <v>587</v>
      </c>
      <c r="E167" t="s">
        <v>623</v>
      </c>
      <c r="F167" s="1">
        <v>0</v>
      </c>
    </row>
    <row r="168" spans="1:6" x14ac:dyDescent="0.3">
      <c r="A168" s="2">
        <v>44005</v>
      </c>
      <c r="B168" s="43">
        <v>0.56527777777777777</v>
      </c>
      <c r="C168" t="s">
        <v>651</v>
      </c>
      <c r="D168" t="s">
        <v>617</v>
      </c>
      <c r="E168" t="s">
        <v>586</v>
      </c>
      <c r="F168" s="1">
        <v>0</v>
      </c>
    </row>
    <row r="169" spans="1:6" x14ac:dyDescent="0.3">
      <c r="A169" s="2">
        <v>44005</v>
      </c>
      <c r="B169" s="43">
        <v>0.72777777777777775</v>
      </c>
      <c r="C169" t="s">
        <v>652</v>
      </c>
      <c r="D169" t="s">
        <v>602</v>
      </c>
      <c r="E169" t="s">
        <v>586</v>
      </c>
      <c r="F169" s="1">
        <v>0</v>
      </c>
    </row>
    <row r="170" spans="1:6" x14ac:dyDescent="0.3">
      <c r="A170" s="2">
        <v>44005</v>
      </c>
      <c r="B170" s="43">
        <v>0.75624999999999998</v>
      </c>
      <c r="C170" t="s">
        <v>650</v>
      </c>
      <c r="D170" t="s">
        <v>590</v>
      </c>
      <c r="E170" t="s">
        <v>622</v>
      </c>
      <c r="F170" s="1">
        <v>1</v>
      </c>
    </row>
    <row r="171" spans="1:6" x14ac:dyDescent="0.3">
      <c r="A171" s="2">
        <v>44008</v>
      </c>
      <c r="B171" s="43">
        <v>0.61111111111111105</v>
      </c>
      <c r="C171" t="s">
        <v>650</v>
      </c>
      <c r="D171" t="s">
        <v>606</v>
      </c>
      <c r="E171" t="s">
        <v>586</v>
      </c>
      <c r="F171" s="1">
        <v>0</v>
      </c>
    </row>
    <row r="172" spans="1:6" x14ac:dyDescent="0.3">
      <c r="A172" s="2">
        <v>44010</v>
      </c>
      <c r="B172" s="43">
        <v>0.4375</v>
      </c>
      <c r="C172" t="s">
        <v>650</v>
      </c>
      <c r="D172" t="s">
        <v>621</v>
      </c>
      <c r="E172" t="s">
        <v>618</v>
      </c>
      <c r="F172" s="1">
        <v>0</v>
      </c>
    </row>
    <row r="173" spans="1:6" x14ac:dyDescent="0.3">
      <c r="A173" s="2">
        <v>44011</v>
      </c>
      <c r="B173" s="43">
        <v>0.61875000000000002</v>
      </c>
      <c r="C173" t="s">
        <v>650</v>
      </c>
      <c r="D173" t="s">
        <v>590</v>
      </c>
      <c r="E173" t="s">
        <v>598</v>
      </c>
      <c r="F173" s="1">
        <v>0</v>
      </c>
    </row>
    <row r="174" spans="1:6" x14ac:dyDescent="0.3">
      <c r="A174" s="2">
        <v>44011</v>
      </c>
      <c r="B174" s="43">
        <v>0.8125</v>
      </c>
      <c r="C174" t="s">
        <v>652</v>
      </c>
      <c r="D174" t="s">
        <v>599</v>
      </c>
      <c r="E174" t="s">
        <v>586</v>
      </c>
      <c r="F174" s="1">
        <v>0</v>
      </c>
    </row>
    <row r="175" spans="1:6" x14ac:dyDescent="0.3">
      <c r="A175" s="2">
        <v>44012</v>
      </c>
      <c r="B175" s="43">
        <v>0.67708333333333337</v>
      </c>
      <c r="C175" t="s">
        <v>650</v>
      </c>
      <c r="D175" t="s">
        <v>587</v>
      </c>
      <c r="E175" t="s">
        <v>586</v>
      </c>
      <c r="F175" s="1">
        <v>0</v>
      </c>
    </row>
    <row r="176" spans="1:6" x14ac:dyDescent="0.3">
      <c r="A176" s="2">
        <v>44012</v>
      </c>
      <c r="B176" s="43">
        <v>0.74305555555555547</v>
      </c>
      <c r="C176" t="s">
        <v>651</v>
      </c>
      <c r="D176" t="s">
        <v>600</v>
      </c>
      <c r="E176" t="s">
        <v>586</v>
      </c>
      <c r="F176" s="1">
        <v>0</v>
      </c>
    </row>
    <row r="177" spans="1:6" x14ac:dyDescent="0.3">
      <c r="A177" s="2">
        <v>44012</v>
      </c>
      <c r="B177" s="43">
        <v>0.9375</v>
      </c>
      <c r="C177" t="s">
        <v>651</v>
      </c>
      <c r="D177" t="s">
        <v>585</v>
      </c>
      <c r="E177" t="s">
        <v>618</v>
      </c>
      <c r="F177" s="1">
        <v>0</v>
      </c>
    </row>
    <row r="178" spans="1:6" x14ac:dyDescent="0.3">
      <c r="A178" s="2">
        <v>44013</v>
      </c>
      <c r="B178" s="43">
        <v>0.94930555555555562</v>
      </c>
      <c r="C178" t="s">
        <v>651</v>
      </c>
      <c r="D178" t="s">
        <v>613</v>
      </c>
      <c r="E178" t="s">
        <v>586</v>
      </c>
      <c r="F178" s="1">
        <v>0</v>
      </c>
    </row>
    <row r="179" spans="1:6" x14ac:dyDescent="0.3">
      <c r="A179" s="2">
        <v>44014</v>
      </c>
      <c r="B179" s="43">
        <v>0.55902777777777779</v>
      </c>
      <c r="C179" t="s">
        <v>651</v>
      </c>
      <c r="D179" t="s">
        <v>593</v>
      </c>
      <c r="E179" t="s">
        <v>586</v>
      </c>
      <c r="F179" s="1">
        <v>1</v>
      </c>
    </row>
    <row r="180" spans="1:6" x14ac:dyDescent="0.3">
      <c r="A180" s="2">
        <v>44017</v>
      </c>
      <c r="B180" s="43">
        <v>0.16666666666666666</v>
      </c>
      <c r="C180" t="s">
        <v>650</v>
      </c>
      <c r="D180" t="s">
        <v>590</v>
      </c>
      <c r="E180" t="s">
        <v>622</v>
      </c>
      <c r="F180" s="1">
        <v>0</v>
      </c>
    </row>
    <row r="181" spans="1:6" x14ac:dyDescent="0.3">
      <c r="A181" s="2">
        <v>44018</v>
      </c>
      <c r="B181" s="43">
        <v>0.35347222222222219</v>
      </c>
      <c r="C181" t="s">
        <v>651</v>
      </c>
      <c r="D181" t="s">
        <v>617</v>
      </c>
      <c r="E181" t="s">
        <v>618</v>
      </c>
      <c r="F181" s="1">
        <v>1</v>
      </c>
    </row>
    <row r="182" spans="1:6" x14ac:dyDescent="0.3">
      <c r="A182" s="2">
        <v>44021</v>
      </c>
      <c r="B182" s="43">
        <v>0.44930555555555557</v>
      </c>
      <c r="C182" t="s">
        <v>650</v>
      </c>
      <c r="D182" t="s">
        <v>587</v>
      </c>
      <c r="E182" t="s">
        <v>608</v>
      </c>
      <c r="F182" s="1">
        <v>0</v>
      </c>
    </row>
    <row r="183" spans="1:6" x14ac:dyDescent="0.3">
      <c r="A183" s="2">
        <v>44022</v>
      </c>
      <c r="B183" s="43">
        <v>0.41666666666666669</v>
      </c>
      <c r="C183" t="s">
        <v>649</v>
      </c>
      <c r="D183" t="s">
        <v>602</v>
      </c>
      <c r="E183" t="s">
        <v>622</v>
      </c>
      <c r="F183" s="1">
        <v>0</v>
      </c>
    </row>
    <row r="184" spans="1:6" x14ac:dyDescent="0.3">
      <c r="A184" s="2">
        <v>44022</v>
      </c>
      <c r="B184" s="43">
        <v>0.72222222222222221</v>
      </c>
      <c r="C184" t="s">
        <v>651</v>
      </c>
      <c r="D184" t="s">
        <v>590</v>
      </c>
      <c r="E184" t="s">
        <v>618</v>
      </c>
      <c r="F184" s="1">
        <v>0</v>
      </c>
    </row>
    <row r="185" spans="1:6" x14ac:dyDescent="0.3">
      <c r="A185" s="2">
        <v>44023</v>
      </c>
      <c r="B185" s="43">
        <v>0.1076388888888889</v>
      </c>
      <c r="C185" t="s">
        <v>652</v>
      </c>
      <c r="D185" t="s">
        <v>593</v>
      </c>
      <c r="E185" t="s">
        <v>586</v>
      </c>
      <c r="F185" s="1">
        <v>1</v>
      </c>
    </row>
    <row r="186" spans="1:6" x14ac:dyDescent="0.3">
      <c r="A186" s="2">
        <v>44023</v>
      </c>
      <c r="B186" s="43">
        <v>0.57986111111111105</v>
      </c>
      <c r="C186" t="s">
        <v>650</v>
      </c>
      <c r="D186" t="s">
        <v>590</v>
      </c>
      <c r="E186" t="s">
        <v>586</v>
      </c>
      <c r="F186" s="1">
        <v>0</v>
      </c>
    </row>
    <row r="187" spans="1:6" x14ac:dyDescent="0.3">
      <c r="A187" s="2">
        <v>44025</v>
      </c>
      <c r="B187" s="43">
        <v>0.19999999999999998</v>
      </c>
      <c r="C187" t="s">
        <v>650</v>
      </c>
      <c r="D187" t="s">
        <v>585</v>
      </c>
      <c r="E187" t="s">
        <v>586</v>
      </c>
      <c r="F187" s="1">
        <v>0</v>
      </c>
    </row>
    <row r="188" spans="1:6" x14ac:dyDescent="0.3">
      <c r="A188" s="2">
        <v>44026</v>
      </c>
      <c r="B188" s="43">
        <v>0.47916666666666669</v>
      </c>
      <c r="C188" t="s">
        <v>649</v>
      </c>
      <c r="D188" t="s">
        <v>616</v>
      </c>
      <c r="E188" t="s">
        <v>618</v>
      </c>
      <c r="F188" s="1">
        <v>0</v>
      </c>
    </row>
    <row r="189" spans="1:6" x14ac:dyDescent="0.3">
      <c r="A189" s="2">
        <v>44026</v>
      </c>
      <c r="B189" s="43">
        <v>0.71527777777777779</v>
      </c>
      <c r="C189" t="s">
        <v>650</v>
      </c>
      <c r="D189" t="s">
        <v>590</v>
      </c>
      <c r="E189" t="s">
        <v>598</v>
      </c>
      <c r="F189" s="1">
        <v>0</v>
      </c>
    </row>
    <row r="190" spans="1:6" x14ac:dyDescent="0.3">
      <c r="A190" s="2">
        <v>44028</v>
      </c>
      <c r="B190" s="43">
        <v>0.41875000000000001</v>
      </c>
      <c r="C190" t="s">
        <v>649</v>
      </c>
      <c r="D190" t="s">
        <v>587</v>
      </c>
      <c r="E190" t="s">
        <v>624</v>
      </c>
      <c r="F190" s="1">
        <v>1</v>
      </c>
    </row>
    <row r="191" spans="1:6" x14ac:dyDescent="0.3">
      <c r="A191" s="2">
        <v>44029</v>
      </c>
      <c r="B191" s="43">
        <v>1.3888888888888888E-2</v>
      </c>
      <c r="C191" t="s">
        <v>652</v>
      </c>
      <c r="D191" t="s">
        <v>615</v>
      </c>
      <c r="E191" t="s">
        <v>586</v>
      </c>
      <c r="F191" s="1">
        <v>0</v>
      </c>
    </row>
    <row r="192" spans="1:6" x14ac:dyDescent="0.3">
      <c r="A192" s="2">
        <v>44029</v>
      </c>
      <c r="B192" s="43">
        <v>0.34027777777777773</v>
      </c>
      <c r="C192" t="s">
        <v>650</v>
      </c>
      <c r="D192" t="s">
        <v>587</v>
      </c>
      <c r="E192" t="s">
        <v>586</v>
      </c>
      <c r="F192" s="1">
        <v>0</v>
      </c>
    </row>
    <row r="193" spans="1:6" x14ac:dyDescent="0.3">
      <c r="A193" s="2">
        <v>44029</v>
      </c>
      <c r="B193" s="43">
        <v>0.66666666666666663</v>
      </c>
      <c r="C193" t="s">
        <v>649</v>
      </c>
      <c r="D193" t="s">
        <v>587</v>
      </c>
      <c r="E193" t="s">
        <v>598</v>
      </c>
      <c r="F193" s="1">
        <v>0</v>
      </c>
    </row>
    <row r="194" spans="1:6" x14ac:dyDescent="0.3">
      <c r="A194" s="2">
        <v>44029</v>
      </c>
      <c r="B194" s="43">
        <v>0.79513888888888884</v>
      </c>
      <c r="C194" t="s">
        <v>650</v>
      </c>
      <c r="D194" t="s">
        <v>611</v>
      </c>
      <c r="E194" t="s">
        <v>586</v>
      </c>
      <c r="F194" s="1">
        <v>0</v>
      </c>
    </row>
    <row r="195" spans="1:6" x14ac:dyDescent="0.3">
      <c r="A195" s="2">
        <v>44030</v>
      </c>
      <c r="B195" s="43">
        <v>0.57291666666666663</v>
      </c>
      <c r="C195" t="s">
        <v>651</v>
      </c>
      <c r="D195" t="s">
        <v>590</v>
      </c>
      <c r="E195" t="s">
        <v>586</v>
      </c>
      <c r="F195" s="1">
        <v>0</v>
      </c>
    </row>
    <row r="196" spans="1:6" x14ac:dyDescent="0.3">
      <c r="A196" s="2">
        <v>44031</v>
      </c>
      <c r="B196" s="43">
        <v>0.53125</v>
      </c>
      <c r="C196" t="s">
        <v>653</v>
      </c>
      <c r="D196" t="s">
        <v>590</v>
      </c>
      <c r="E196" t="s">
        <v>586</v>
      </c>
      <c r="F196" s="1">
        <v>0</v>
      </c>
    </row>
    <row r="197" spans="1:6" x14ac:dyDescent="0.3">
      <c r="A197" s="2">
        <v>44032</v>
      </c>
      <c r="B197" s="43">
        <v>0.3263888888888889</v>
      </c>
      <c r="C197" t="s">
        <v>650</v>
      </c>
      <c r="D197" t="s">
        <v>590</v>
      </c>
      <c r="E197" t="s">
        <v>618</v>
      </c>
      <c r="F197" s="1">
        <v>2</v>
      </c>
    </row>
    <row r="198" spans="1:6" x14ac:dyDescent="0.3">
      <c r="A198" s="2">
        <v>44033</v>
      </c>
      <c r="B198" s="43">
        <v>0.34722222222222227</v>
      </c>
      <c r="C198" t="s">
        <v>650</v>
      </c>
      <c r="D198" t="s">
        <v>587</v>
      </c>
      <c r="E198" t="s">
        <v>586</v>
      </c>
      <c r="F198" s="1">
        <v>0</v>
      </c>
    </row>
    <row r="199" spans="1:6" x14ac:dyDescent="0.3">
      <c r="A199" s="2">
        <v>44033</v>
      </c>
      <c r="B199" s="43">
        <v>0.76874999999999993</v>
      </c>
      <c r="C199" t="s">
        <v>651</v>
      </c>
      <c r="D199" t="s">
        <v>587</v>
      </c>
      <c r="E199" t="s">
        <v>586</v>
      </c>
      <c r="F199" s="1">
        <v>0</v>
      </c>
    </row>
    <row r="200" spans="1:6" x14ac:dyDescent="0.3">
      <c r="A200" s="2">
        <v>44033</v>
      </c>
      <c r="B200" s="43">
        <v>0.91666666666666663</v>
      </c>
      <c r="C200" t="s">
        <v>649</v>
      </c>
      <c r="D200" t="s">
        <v>604</v>
      </c>
      <c r="E200" t="s">
        <v>610</v>
      </c>
      <c r="F200" s="1">
        <v>1</v>
      </c>
    </row>
    <row r="201" spans="1:6" x14ac:dyDescent="0.3">
      <c r="A201" s="2">
        <v>44034</v>
      </c>
      <c r="B201" s="43">
        <v>0.70486111111111116</v>
      </c>
      <c r="C201" t="s">
        <v>649</v>
      </c>
      <c r="D201" t="s">
        <v>587</v>
      </c>
      <c r="E201" t="s">
        <v>586</v>
      </c>
      <c r="F201" s="1">
        <v>1</v>
      </c>
    </row>
    <row r="202" spans="1:6" x14ac:dyDescent="0.3">
      <c r="A202" s="26"/>
      <c r="B202" s="37"/>
    </row>
    <row r="203" spans="1:6" x14ac:dyDescent="0.3">
      <c r="A203" s="26"/>
      <c r="B203" s="37"/>
    </row>
    <row r="204" spans="1:6" x14ac:dyDescent="0.3">
      <c r="A204" s="26"/>
      <c r="B204" s="37"/>
    </row>
    <row r="205" spans="1:6" x14ac:dyDescent="0.3">
      <c r="A205" s="26"/>
      <c r="B205" s="37"/>
    </row>
    <row r="206" spans="1:6" x14ac:dyDescent="0.3">
      <c r="A206" s="26"/>
      <c r="B206" s="37"/>
    </row>
    <row r="207" spans="1:6" x14ac:dyDescent="0.3">
      <c r="A207" s="26"/>
      <c r="B207" s="37"/>
    </row>
    <row r="208" spans="1:6" x14ac:dyDescent="0.3">
      <c r="A208" s="26"/>
      <c r="B208" s="37"/>
    </row>
    <row r="209" spans="1:2" x14ac:dyDescent="0.3">
      <c r="A209" s="26"/>
      <c r="B209" s="37"/>
    </row>
    <row r="210" spans="1:2" x14ac:dyDescent="0.3">
      <c r="A210" s="26"/>
      <c r="B210" s="37"/>
    </row>
    <row r="211" spans="1:2" x14ac:dyDescent="0.3">
      <c r="A211" s="26"/>
      <c r="B211" s="37"/>
    </row>
    <row r="212" spans="1:2" x14ac:dyDescent="0.3">
      <c r="A212" s="26"/>
      <c r="B212" s="37"/>
    </row>
    <row r="213" spans="1:2" x14ac:dyDescent="0.3">
      <c r="A213" s="26"/>
      <c r="B213" s="37"/>
    </row>
    <row r="214" spans="1:2" x14ac:dyDescent="0.3">
      <c r="A214" s="26"/>
      <c r="B214" s="37"/>
    </row>
    <row r="215" spans="1:2" x14ac:dyDescent="0.3">
      <c r="A215" s="26"/>
      <c r="B215" s="37"/>
    </row>
    <row r="216" spans="1:2" x14ac:dyDescent="0.3">
      <c r="A216" s="26"/>
      <c r="B216" s="37"/>
    </row>
    <row r="217" spans="1:2" x14ac:dyDescent="0.3">
      <c r="A217" s="26"/>
      <c r="B217" s="37"/>
    </row>
    <row r="218" spans="1:2" x14ac:dyDescent="0.3">
      <c r="A218" s="26"/>
      <c r="B218" s="37"/>
    </row>
    <row r="219" spans="1:2" x14ac:dyDescent="0.3">
      <c r="A219" s="26"/>
      <c r="B219" s="37"/>
    </row>
    <row r="220" spans="1:2" x14ac:dyDescent="0.3">
      <c r="A220" s="26"/>
      <c r="B220" s="37"/>
    </row>
    <row r="221" spans="1:2" x14ac:dyDescent="0.3">
      <c r="A221" s="26"/>
      <c r="B221" s="37"/>
    </row>
    <row r="222" spans="1:2" x14ac:dyDescent="0.3">
      <c r="A222" s="26"/>
      <c r="B222" s="37"/>
    </row>
    <row r="223" spans="1:2" x14ac:dyDescent="0.3">
      <c r="A223" s="26"/>
      <c r="B223" s="37"/>
    </row>
    <row r="224" spans="1:2" x14ac:dyDescent="0.3">
      <c r="A224" s="26"/>
      <c r="B224" s="37"/>
    </row>
    <row r="225" spans="1:2" x14ac:dyDescent="0.3">
      <c r="A225" s="26"/>
      <c r="B225" s="37"/>
    </row>
    <row r="226" spans="1:2" x14ac:dyDescent="0.3">
      <c r="A226" s="26"/>
      <c r="B226" s="37"/>
    </row>
    <row r="227" spans="1:2" x14ac:dyDescent="0.3">
      <c r="A227" s="26"/>
      <c r="B227" s="37"/>
    </row>
    <row r="228" spans="1:2" x14ac:dyDescent="0.3">
      <c r="A228" s="26"/>
      <c r="B228" s="37"/>
    </row>
    <row r="229" spans="1:2" x14ac:dyDescent="0.3">
      <c r="A229" s="26"/>
      <c r="B229" s="37"/>
    </row>
    <row r="230" spans="1:2" x14ac:dyDescent="0.3">
      <c r="A230" s="26"/>
      <c r="B230" s="37"/>
    </row>
  </sheetData>
  <mergeCells count="1">
    <mergeCell ref="A1:F1"/>
  </mergeCell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B6BA0F-4C61-4309-84AD-B4AC648BA68A}">
  <sheetPr codeName="Sheet23">
    <tabColor rgb="FFFF9999"/>
  </sheetPr>
  <dimension ref="A1:F178"/>
  <sheetViews>
    <sheetView workbookViewId="0">
      <selection activeCell="J5" sqref="J5"/>
    </sheetView>
  </sheetViews>
  <sheetFormatPr defaultRowHeight="14.4" x14ac:dyDescent="0.3"/>
  <cols>
    <col min="1" max="1" width="11.88671875" bestFit="1" customWidth="1"/>
    <col min="3" max="3" width="14.6640625" bestFit="1" customWidth="1"/>
    <col min="4" max="4" width="50.5546875" bestFit="1" customWidth="1"/>
    <col min="5" max="5" width="14.6640625" bestFit="1" customWidth="1"/>
    <col min="6" max="6" width="18.88671875" bestFit="1" customWidth="1"/>
  </cols>
  <sheetData>
    <row r="1" spans="1:6" ht="18" x14ac:dyDescent="0.35">
      <c r="A1" s="51" t="s">
        <v>629</v>
      </c>
      <c r="B1" s="51"/>
      <c r="C1" s="51"/>
      <c r="D1" s="51"/>
      <c r="E1" s="51"/>
      <c r="F1" s="51"/>
    </row>
    <row r="2" spans="1:6" x14ac:dyDescent="0.3">
      <c r="A2" s="38" t="s">
        <v>579</v>
      </c>
      <c r="B2" s="38" t="s">
        <v>580</v>
      </c>
      <c r="C2" s="38" t="s">
        <v>581</v>
      </c>
      <c r="D2" s="38" t="s">
        <v>583</v>
      </c>
      <c r="E2" s="38" t="s">
        <v>584</v>
      </c>
      <c r="F2" s="38" t="s">
        <v>582</v>
      </c>
    </row>
    <row r="3" spans="1:6" x14ac:dyDescent="0.3">
      <c r="A3" s="2">
        <v>43831</v>
      </c>
      <c r="B3" s="43">
        <v>9.9999999999999992E-2</v>
      </c>
      <c r="C3" t="s">
        <v>651</v>
      </c>
      <c r="D3" t="s">
        <v>587</v>
      </c>
      <c r="E3" t="s">
        <v>622</v>
      </c>
      <c r="F3" s="1">
        <v>3</v>
      </c>
    </row>
    <row r="4" spans="1:6" x14ac:dyDescent="0.3">
      <c r="A4" s="2">
        <v>43833</v>
      </c>
      <c r="B4" s="43">
        <v>0.22222222222222221</v>
      </c>
      <c r="C4" t="s">
        <v>649</v>
      </c>
      <c r="D4" t="s">
        <v>587</v>
      </c>
      <c r="E4" t="s">
        <v>608</v>
      </c>
      <c r="F4" s="1">
        <v>1</v>
      </c>
    </row>
    <row r="5" spans="1:6" x14ac:dyDescent="0.3">
      <c r="A5" s="2">
        <v>43834</v>
      </c>
      <c r="B5" s="43">
        <v>0.19583333333333333</v>
      </c>
      <c r="C5" t="s">
        <v>649</v>
      </c>
      <c r="D5" t="s">
        <v>587</v>
      </c>
      <c r="E5" t="s">
        <v>586</v>
      </c>
      <c r="F5" s="1">
        <v>0</v>
      </c>
    </row>
    <row r="6" spans="1:6" x14ac:dyDescent="0.3">
      <c r="A6" s="2">
        <v>43835</v>
      </c>
      <c r="B6" s="43">
        <v>0.28333333333333333</v>
      </c>
      <c r="C6" t="s">
        <v>651</v>
      </c>
      <c r="D6" t="s">
        <v>593</v>
      </c>
      <c r="E6" t="s">
        <v>586</v>
      </c>
      <c r="F6" s="1">
        <v>2</v>
      </c>
    </row>
    <row r="7" spans="1:6" x14ac:dyDescent="0.3">
      <c r="A7" s="2">
        <v>43835</v>
      </c>
      <c r="B7" s="43">
        <v>0.33333333333333331</v>
      </c>
      <c r="C7" t="s">
        <v>652</v>
      </c>
      <c r="D7" t="s">
        <v>588</v>
      </c>
      <c r="E7" t="s">
        <v>622</v>
      </c>
      <c r="F7" s="1">
        <v>0</v>
      </c>
    </row>
    <row r="8" spans="1:6" x14ac:dyDescent="0.3">
      <c r="A8" s="2">
        <v>43835</v>
      </c>
      <c r="B8" s="43">
        <v>0.71180555555555547</v>
      </c>
      <c r="C8" t="s">
        <v>649</v>
      </c>
      <c r="D8" t="s">
        <v>609</v>
      </c>
      <c r="E8" t="s">
        <v>586</v>
      </c>
      <c r="F8" s="1">
        <v>0</v>
      </c>
    </row>
    <row r="9" spans="1:6" x14ac:dyDescent="0.3">
      <c r="A9" s="2">
        <v>43837</v>
      </c>
      <c r="B9" s="43">
        <v>0.875</v>
      </c>
      <c r="C9" t="s">
        <v>650</v>
      </c>
      <c r="D9" t="s">
        <v>604</v>
      </c>
      <c r="E9" t="s">
        <v>586</v>
      </c>
      <c r="F9" s="1">
        <v>0</v>
      </c>
    </row>
    <row r="10" spans="1:6" x14ac:dyDescent="0.3">
      <c r="A10" s="2">
        <v>43838</v>
      </c>
      <c r="B10" s="43">
        <v>0.75</v>
      </c>
      <c r="C10" t="s">
        <v>650</v>
      </c>
      <c r="D10" t="s">
        <v>587</v>
      </c>
      <c r="E10" t="s">
        <v>586</v>
      </c>
      <c r="F10" s="1">
        <v>0</v>
      </c>
    </row>
    <row r="11" spans="1:6" x14ac:dyDescent="0.3">
      <c r="A11" s="2">
        <v>43838</v>
      </c>
      <c r="B11" s="43">
        <v>0.94374999999999998</v>
      </c>
      <c r="C11" t="s">
        <v>651</v>
      </c>
      <c r="D11" t="s">
        <v>609</v>
      </c>
      <c r="E11" t="s">
        <v>586</v>
      </c>
      <c r="F11" s="1">
        <v>0</v>
      </c>
    </row>
    <row r="12" spans="1:6" x14ac:dyDescent="0.3">
      <c r="A12" s="2">
        <v>43839</v>
      </c>
      <c r="B12" s="43">
        <v>1.3888888888888889E-3</v>
      </c>
      <c r="C12" t="s">
        <v>649</v>
      </c>
      <c r="D12" t="s">
        <v>593</v>
      </c>
      <c r="E12" t="s">
        <v>586</v>
      </c>
      <c r="F12" s="1">
        <v>1</v>
      </c>
    </row>
    <row r="13" spans="1:6" x14ac:dyDescent="0.3">
      <c r="A13" s="2">
        <v>43839</v>
      </c>
      <c r="B13" s="43">
        <v>0.58333333333333337</v>
      </c>
      <c r="C13" t="s">
        <v>649</v>
      </c>
      <c r="D13" t="s">
        <v>587</v>
      </c>
      <c r="E13" t="s">
        <v>591</v>
      </c>
      <c r="F13" s="1">
        <v>0</v>
      </c>
    </row>
    <row r="14" spans="1:6" x14ac:dyDescent="0.3">
      <c r="A14" s="2">
        <v>43840</v>
      </c>
      <c r="B14" s="43">
        <v>0.54861111111111105</v>
      </c>
      <c r="C14" t="s">
        <v>649</v>
      </c>
      <c r="D14" t="s">
        <v>592</v>
      </c>
      <c r="E14" t="s">
        <v>624</v>
      </c>
      <c r="F14" s="1">
        <v>0</v>
      </c>
    </row>
    <row r="15" spans="1:6" x14ac:dyDescent="0.3">
      <c r="A15" s="2">
        <v>43840</v>
      </c>
      <c r="B15" s="43">
        <v>0.85069444444444453</v>
      </c>
      <c r="C15" t="s">
        <v>652</v>
      </c>
      <c r="D15" t="s">
        <v>587</v>
      </c>
      <c r="E15" t="s">
        <v>591</v>
      </c>
      <c r="F15" s="1">
        <v>1</v>
      </c>
    </row>
    <row r="16" spans="1:6" x14ac:dyDescent="0.3">
      <c r="A16" s="2">
        <v>43840</v>
      </c>
      <c r="B16" s="43">
        <v>0.85486111111111107</v>
      </c>
      <c r="C16" t="s">
        <v>649</v>
      </c>
      <c r="D16" t="s">
        <v>587</v>
      </c>
      <c r="E16" t="s">
        <v>622</v>
      </c>
      <c r="F16" s="1">
        <v>0</v>
      </c>
    </row>
    <row r="17" spans="1:6" x14ac:dyDescent="0.3">
      <c r="A17" s="2">
        <v>43840</v>
      </c>
      <c r="B17" s="43">
        <v>0.98333333333333339</v>
      </c>
      <c r="C17" t="s">
        <v>650</v>
      </c>
      <c r="D17" t="s">
        <v>587</v>
      </c>
      <c r="E17" t="s">
        <v>586</v>
      </c>
      <c r="F17" s="1">
        <v>0</v>
      </c>
    </row>
    <row r="18" spans="1:6" x14ac:dyDescent="0.3">
      <c r="A18" s="2">
        <v>43841</v>
      </c>
      <c r="B18" s="43">
        <v>0.47222222222222227</v>
      </c>
      <c r="C18" t="s">
        <v>652</v>
      </c>
      <c r="D18" t="s">
        <v>587</v>
      </c>
      <c r="E18" t="s">
        <v>622</v>
      </c>
      <c r="F18" s="1">
        <v>1</v>
      </c>
    </row>
    <row r="19" spans="1:6" x14ac:dyDescent="0.3">
      <c r="A19" s="2">
        <v>43842</v>
      </c>
      <c r="B19" s="43">
        <v>0.71180555555555547</v>
      </c>
      <c r="C19" t="s">
        <v>649</v>
      </c>
      <c r="D19" t="s">
        <v>587</v>
      </c>
      <c r="E19" t="s">
        <v>586</v>
      </c>
      <c r="F19" s="1">
        <v>0</v>
      </c>
    </row>
    <row r="20" spans="1:6" x14ac:dyDescent="0.3">
      <c r="A20" s="2">
        <v>43842</v>
      </c>
      <c r="B20" s="43">
        <v>0.79166666666666663</v>
      </c>
      <c r="C20" t="s">
        <v>652</v>
      </c>
      <c r="D20" t="s">
        <v>587</v>
      </c>
      <c r="E20" t="s">
        <v>586</v>
      </c>
      <c r="F20" s="1">
        <v>0</v>
      </c>
    </row>
    <row r="21" spans="1:6" x14ac:dyDescent="0.3">
      <c r="A21" s="2">
        <v>43843</v>
      </c>
      <c r="B21" s="43">
        <v>6.9444444444444434E-2</v>
      </c>
      <c r="C21" t="s">
        <v>652</v>
      </c>
      <c r="D21" t="s">
        <v>617</v>
      </c>
      <c r="E21" t="s">
        <v>622</v>
      </c>
      <c r="F21" s="1">
        <v>1</v>
      </c>
    </row>
    <row r="22" spans="1:6" x14ac:dyDescent="0.3">
      <c r="A22" s="2">
        <v>43844</v>
      </c>
      <c r="B22" s="43">
        <v>0.30555555555555552</v>
      </c>
      <c r="C22" t="s">
        <v>651</v>
      </c>
      <c r="D22" t="s">
        <v>609</v>
      </c>
      <c r="E22" t="s">
        <v>586</v>
      </c>
      <c r="F22" s="1">
        <v>0</v>
      </c>
    </row>
    <row r="23" spans="1:6" x14ac:dyDescent="0.3">
      <c r="A23" s="2">
        <v>43844</v>
      </c>
      <c r="B23" s="43">
        <v>0.5756944444444444</v>
      </c>
      <c r="C23" t="s">
        <v>652</v>
      </c>
      <c r="D23" t="s">
        <v>592</v>
      </c>
      <c r="E23" t="s">
        <v>586</v>
      </c>
      <c r="F23" s="1">
        <v>0</v>
      </c>
    </row>
    <row r="24" spans="1:6" x14ac:dyDescent="0.3">
      <c r="A24" s="2">
        <v>43845</v>
      </c>
      <c r="B24" s="43">
        <v>0.81388888888888899</v>
      </c>
      <c r="C24" t="s">
        <v>649</v>
      </c>
      <c r="D24" t="s">
        <v>592</v>
      </c>
      <c r="E24" t="s">
        <v>607</v>
      </c>
      <c r="F24" s="1">
        <v>1</v>
      </c>
    </row>
    <row r="25" spans="1:6" x14ac:dyDescent="0.3">
      <c r="A25" s="2">
        <v>43845</v>
      </c>
      <c r="B25" s="43">
        <v>0.82291666666666663</v>
      </c>
      <c r="C25" t="s">
        <v>652</v>
      </c>
      <c r="D25" t="s">
        <v>587</v>
      </c>
      <c r="E25" t="s">
        <v>586</v>
      </c>
      <c r="F25" s="1">
        <v>1</v>
      </c>
    </row>
    <row r="26" spans="1:6" x14ac:dyDescent="0.3">
      <c r="A26" s="2">
        <v>43846</v>
      </c>
      <c r="B26" s="43">
        <v>0.46875</v>
      </c>
      <c r="C26" t="s">
        <v>652</v>
      </c>
      <c r="D26" t="s">
        <v>609</v>
      </c>
      <c r="E26" t="s">
        <v>586</v>
      </c>
      <c r="F26" s="1">
        <v>0</v>
      </c>
    </row>
    <row r="27" spans="1:6" x14ac:dyDescent="0.3">
      <c r="A27" s="2">
        <v>43846</v>
      </c>
      <c r="B27" s="43">
        <v>0.52430555555555558</v>
      </c>
      <c r="C27" t="s">
        <v>649</v>
      </c>
      <c r="D27" t="s">
        <v>587</v>
      </c>
      <c r="E27" t="s">
        <v>586</v>
      </c>
      <c r="F27" s="1">
        <v>0</v>
      </c>
    </row>
    <row r="28" spans="1:6" x14ac:dyDescent="0.3">
      <c r="A28" s="2">
        <v>43846</v>
      </c>
      <c r="B28" s="43">
        <v>0.64513888888888882</v>
      </c>
      <c r="C28" t="s">
        <v>651</v>
      </c>
      <c r="D28" t="s">
        <v>585</v>
      </c>
      <c r="E28" t="s">
        <v>586</v>
      </c>
      <c r="F28" s="1">
        <v>0</v>
      </c>
    </row>
    <row r="29" spans="1:6" x14ac:dyDescent="0.3">
      <c r="A29" s="2">
        <v>43849</v>
      </c>
      <c r="B29" s="43">
        <v>0.21319444444444444</v>
      </c>
      <c r="C29" t="s">
        <v>651</v>
      </c>
      <c r="D29" t="s">
        <v>609</v>
      </c>
      <c r="E29" t="s">
        <v>622</v>
      </c>
      <c r="F29" s="1">
        <v>0</v>
      </c>
    </row>
    <row r="30" spans="1:6" x14ac:dyDescent="0.3">
      <c r="A30" s="2">
        <v>43849</v>
      </c>
      <c r="B30" s="43">
        <v>0.64583333333333337</v>
      </c>
      <c r="C30" t="s">
        <v>649</v>
      </c>
      <c r="D30" t="s">
        <v>587</v>
      </c>
      <c r="E30" t="s">
        <v>586</v>
      </c>
      <c r="F30" s="1">
        <v>0</v>
      </c>
    </row>
    <row r="31" spans="1:6" x14ac:dyDescent="0.3">
      <c r="A31" s="2">
        <v>43851</v>
      </c>
      <c r="B31" s="43">
        <v>0.47916666666666669</v>
      </c>
      <c r="C31" t="s">
        <v>649</v>
      </c>
      <c r="D31" t="s">
        <v>587</v>
      </c>
      <c r="E31" t="s">
        <v>591</v>
      </c>
      <c r="F31" s="1">
        <v>0</v>
      </c>
    </row>
    <row r="32" spans="1:6" x14ac:dyDescent="0.3">
      <c r="A32" s="2">
        <v>43852</v>
      </c>
      <c r="B32" s="43">
        <v>0.1875</v>
      </c>
      <c r="C32" t="s">
        <v>649</v>
      </c>
      <c r="D32" t="s">
        <v>609</v>
      </c>
      <c r="E32" t="s">
        <v>586</v>
      </c>
      <c r="F32" s="1">
        <v>0</v>
      </c>
    </row>
    <row r="33" spans="1:6" x14ac:dyDescent="0.3">
      <c r="A33" s="2">
        <v>43852</v>
      </c>
      <c r="B33" s="43">
        <v>0.76736111111111116</v>
      </c>
      <c r="C33" t="s">
        <v>649</v>
      </c>
      <c r="D33" t="s">
        <v>587</v>
      </c>
      <c r="E33" t="s">
        <v>622</v>
      </c>
      <c r="F33" s="1">
        <v>0</v>
      </c>
    </row>
    <row r="34" spans="1:6" x14ac:dyDescent="0.3">
      <c r="A34" s="2">
        <v>43852</v>
      </c>
      <c r="B34" s="43">
        <v>0.8208333333333333</v>
      </c>
      <c r="C34" t="s">
        <v>649</v>
      </c>
      <c r="D34" t="s">
        <v>587</v>
      </c>
      <c r="E34" t="s">
        <v>586</v>
      </c>
      <c r="F34" s="1">
        <v>0</v>
      </c>
    </row>
    <row r="35" spans="1:6" x14ac:dyDescent="0.3">
      <c r="A35" s="2">
        <v>43853</v>
      </c>
      <c r="B35" s="43">
        <v>0.34861111111111115</v>
      </c>
      <c r="C35" t="s">
        <v>649</v>
      </c>
      <c r="D35" t="s">
        <v>587</v>
      </c>
      <c r="E35" t="s">
        <v>586</v>
      </c>
      <c r="F35" s="1">
        <v>0</v>
      </c>
    </row>
    <row r="36" spans="1:6" x14ac:dyDescent="0.3">
      <c r="A36" s="2">
        <v>43854</v>
      </c>
      <c r="B36" s="43">
        <v>0.92361111111111116</v>
      </c>
      <c r="C36" t="s">
        <v>649</v>
      </c>
      <c r="D36" t="s">
        <v>587</v>
      </c>
      <c r="E36" t="s">
        <v>622</v>
      </c>
      <c r="F36" s="1">
        <v>0</v>
      </c>
    </row>
    <row r="37" spans="1:6" x14ac:dyDescent="0.3">
      <c r="A37" s="2">
        <v>43854</v>
      </c>
      <c r="B37" s="43">
        <v>0.99652777777777779</v>
      </c>
      <c r="C37" t="s">
        <v>649</v>
      </c>
      <c r="D37" t="s">
        <v>604</v>
      </c>
      <c r="E37" t="s">
        <v>586</v>
      </c>
      <c r="F37" s="1">
        <v>0</v>
      </c>
    </row>
    <row r="38" spans="1:6" x14ac:dyDescent="0.3">
      <c r="A38" s="2">
        <v>43855</v>
      </c>
      <c r="B38" s="43">
        <v>0.69374999999999998</v>
      </c>
      <c r="C38" t="s">
        <v>651</v>
      </c>
      <c r="D38" t="s">
        <v>609</v>
      </c>
      <c r="E38" t="s">
        <v>622</v>
      </c>
      <c r="F38" s="1">
        <v>0</v>
      </c>
    </row>
    <row r="39" spans="1:6" x14ac:dyDescent="0.3">
      <c r="A39" s="2">
        <v>43857</v>
      </c>
      <c r="B39" s="43">
        <v>0.65972222222222221</v>
      </c>
      <c r="C39" t="s">
        <v>649</v>
      </c>
      <c r="D39" t="s">
        <v>587</v>
      </c>
      <c r="E39" t="s">
        <v>591</v>
      </c>
      <c r="F39" s="1">
        <v>1</v>
      </c>
    </row>
    <row r="40" spans="1:6" x14ac:dyDescent="0.3">
      <c r="A40" s="2">
        <v>43858</v>
      </c>
      <c r="B40" s="43">
        <v>0.34027777777777773</v>
      </c>
      <c r="C40" t="s">
        <v>649</v>
      </c>
      <c r="D40" t="s">
        <v>611</v>
      </c>
      <c r="E40" t="s">
        <v>608</v>
      </c>
      <c r="F40" s="1">
        <v>0</v>
      </c>
    </row>
    <row r="41" spans="1:6" x14ac:dyDescent="0.3">
      <c r="A41" s="2">
        <v>43858</v>
      </c>
      <c r="B41" s="43">
        <v>0.77847222222222223</v>
      </c>
      <c r="C41" t="s">
        <v>649</v>
      </c>
      <c r="D41" t="s">
        <v>587</v>
      </c>
      <c r="E41" t="s">
        <v>622</v>
      </c>
      <c r="F41" s="1">
        <v>0</v>
      </c>
    </row>
    <row r="42" spans="1:6" x14ac:dyDescent="0.3">
      <c r="A42" s="2">
        <v>43859</v>
      </c>
      <c r="B42" s="43">
        <v>0.81597222222222221</v>
      </c>
      <c r="C42" t="s">
        <v>649</v>
      </c>
      <c r="D42" t="s">
        <v>587</v>
      </c>
      <c r="E42" t="s">
        <v>598</v>
      </c>
      <c r="F42" s="1">
        <v>0</v>
      </c>
    </row>
    <row r="43" spans="1:6" x14ac:dyDescent="0.3">
      <c r="A43" s="2">
        <v>43862</v>
      </c>
      <c r="B43" s="43">
        <v>1.6666666666666666E-2</v>
      </c>
      <c r="C43" t="s">
        <v>650</v>
      </c>
      <c r="D43" t="s">
        <v>587</v>
      </c>
      <c r="E43" t="s">
        <v>622</v>
      </c>
      <c r="F43" s="1">
        <v>1</v>
      </c>
    </row>
    <row r="44" spans="1:6" x14ac:dyDescent="0.3">
      <c r="A44" s="2">
        <v>43862</v>
      </c>
      <c r="B44" s="43">
        <v>0.41319444444444442</v>
      </c>
      <c r="C44" t="s">
        <v>649</v>
      </c>
      <c r="D44" t="s">
        <v>587</v>
      </c>
      <c r="E44" t="s">
        <v>622</v>
      </c>
      <c r="F44" s="1">
        <v>0</v>
      </c>
    </row>
    <row r="45" spans="1:6" x14ac:dyDescent="0.3">
      <c r="A45" s="2">
        <v>43863</v>
      </c>
      <c r="B45" s="43">
        <v>8.3333333333333329E-2</v>
      </c>
      <c r="C45" t="s">
        <v>649</v>
      </c>
      <c r="D45" t="s">
        <v>604</v>
      </c>
      <c r="E45" t="s">
        <v>622</v>
      </c>
      <c r="F45" s="1">
        <v>0</v>
      </c>
    </row>
    <row r="46" spans="1:6" x14ac:dyDescent="0.3">
      <c r="A46" s="2">
        <v>43863</v>
      </c>
      <c r="B46" s="43">
        <v>0.60416666666666663</v>
      </c>
      <c r="C46" t="s">
        <v>649</v>
      </c>
      <c r="D46" t="s">
        <v>611</v>
      </c>
      <c r="E46" t="s">
        <v>622</v>
      </c>
      <c r="F46" s="1">
        <v>0</v>
      </c>
    </row>
    <row r="47" spans="1:6" x14ac:dyDescent="0.3">
      <c r="A47" s="2">
        <v>43863</v>
      </c>
      <c r="B47" s="43">
        <v>0.6777777777777777</v>
      </c>
      <c r="C47" t="s">
        <v>649</v>
      </c>
      <c r="D47" t="s">
        <v>587</v>
      </c>
      <c r="E47" t="s">
        <v>586</v>
      </c>
      <c r="F47" s="1">
        <v>0</v>
      </c>
    </row>
    <row r="48" spans="1:6" x14ac:dyDescent="0.3">
      <c r="A48" s="2">
        <v>43864</v>
      </c>
      <c r="B48" s="43">
        <v>0.98125000000000007</v>
      </c>
      <c r="C48" t="s">
        <v>652</v>
      </c>
      <c r="D48" t="s">
        <v>587</v>
      </c>
      <c r="E48" t="s">
        <v>586</v>
      </c>
      <c r="F48" s="1">
        <v>0</v>
      </c>
    </row>
    <row r="49" spans="1:6" x14ac:dyDescent="0.3">
      <c r="A49" s="2">
        <v>43865</v>
      </c>
      <c r="B49" s="43">
        <v>0.76388888888888884</v>
      </c>
      <c r="C49" t="s">
        <v>649</v>
      </c>
      <c r="D49" t="s">
        <v>617</v>
      </c>
      <c r="E49" t="s">
        <v>601</v>
      </c>
      <c r="F49" s="1">
        <v>0</v>
      </c>
    </row>
    <row r="50" spans="1:6" x14ac:dyDescent="0.3">
      <c r="A50" s="2">
        <v>43866</v>
      </c>
      <c r="B50" s="43">
        <v>0.39583333333333331</v>
      </c>
      <c r="C50" t="s">
        <v>651</v>
      </c>
      <c r="D50" t="s">
        <v>616</v>
      </c>
      <c r="E50" t="s">
        <v>622</v>
      </c>
      <c r="F50" s="1">
        <v>1</v>
      </c>
    </row>
    <row r="51" spans="1:6" x14ac:dyDescent="0.3">
      <c r="A51" s="2">
        <v>43867</v>
      </c>
      <c r="B51" s="43">
        <v>0.5</v>
      </c>
      <c r="C51" t="s">
        <v>649</v>
      </c>
      <c r="D51" t="s">
        <v>587</v>
      </c>
      <c r="E51" t="s">
        <v>586</v>
      </c>
      <c r="F51" s="1">
        <v>0</v>
      </c>
    </row>
    <row r="52" spans="1:6" x14ac:dyDescent="0.3">
      <c r="A52" s="2">
        <v>43867</v>
      </c>
      <c r="B52" s="43">
        <v>0.75416666666666676</v>
      </c>
      <c r="C52" t="s">
        <v>651</v>
      </c>
      <c r="D52" t="s">
        <v>587</v>
      </c>
      <c r="E52" t="s">
        <v>622</v>
      </c>
      <c r="F52" s="1">
        <v>0</v>
      </c>
    </row>
    <row r="53" spans="1:6" x14ac:dyDescent="0.3">
      <c r="A53" s="2">
        <v>43867</v>
      </c>
      <c r="B53" s="43">
        <v>0.87152777777777779</v>
      </c>
      <c r="C53" t="s">
        <v>649</v>
      </c>
      <c r="D53" t="s">
        <v>587</v>
      </c>
      <c r="E53" t="s">
        <v>591</v>
      </c>
      <c r="F53" s="1">
        <v>1</v>
      </c>
    </row>
    <row r="54" spans="1:6" x14ac:dyDescent="0.3">
      <c r="A54" s="2">
        <v>43867</v>
      </c>
      <c r="B54" s="43">
        <v>0.97916666666666663</v>
      </c>
      <c r="C54" t="s">
        <v>649</v>
      </c>
      <c r="D54" t="s">
        <v>592</v>
      </c>
      <c r="E54" t="s">
        <v>586</v>
      </c>
      <c r="F54" s="1">
        <v>0</v>
      </c>
    </row>
    <row r="55" spans="1:6" x14ac:dyDescent="0.3">
      <c r="A55" s="2">
        <v>43868</v>
      </c>
      <c r="B55" s="43">
        <v>0.54999999999999993</v>
      </c>
      <c r="C55" t="s">
        <v>649</v>
      </c>
      <c r="D55" t="s">
        <v>587</v>
      </c>
      <c r="E55" t="s">
        <v>586</v>
      </c>
      <c r="F55" s="1">
        <v>0</v>
      </c>
    </row>
    <row r="56" spans="1:6" x14ac:dyDescent="0.3">
      <c r="A56" s="2">
        <v>43868</v>
      </c>
      <c r="B56" s="43">
        <v>0.82291666666666663</v>
      </c>
      <c r="C56" t="s">
        <v>649</v>
      </c>
      <c r="D56" t="s">
        <v>609</v>
      </c>
      <c r="E56" t="s">
        <v>622</v>
      </c>
      <c r="F56" s="1">
        <v>0</v>
      </c>
    </row>
    <row r="57" spans="1:6" x14ac:dyDescent="0.3">
      <c r="A57" s="2">
        <v>43869</v>
      </c>
      <c r="B57" s="43">
        <v>0.72222222222222221</v>
      </c>
      <c r="C57" t="s">
        <v>651</v>
      </c>
      <c r="D57" t="s">
        <v>596</v>
      </c>
      <c r="E57" t="s">
        <v>591</v>
      </c>
      <c r="F57" s="1">
        <v>1</v>
      </c>
    </row>
    <row r="58" spans="1:6" x14ac:dyDescent="0.3">
      <c r="A58" s="2">
        <v>43870</v>
      </c>
      <c r="B58" s="43">
        <v>5.2083333333333336E-2</v>
      </c>
      <c r="C58" t="s">
        <v>649</v>
      </c>
      <c r="D58" t="s">
        <v>592</v>
      </c>
      <c r="E58" t="s">
        <v>622</v>
      </c>
      <c r="F58" s="1">
        <v>0</v>
      </c>
    </row>
    <row r="59" spans="1:6" x14ac:dyDescent="0.3">
      <c r="A59" s="2">
        <v>43870</v>
      </c>
      <c r="B59" s="43">
        <v>0.62152777777777779</v>
      </c>
      <c r="C59" t="s">
        <v>650</v>
      </c>
      <c r="D59" t="s">
        <v>587</v>
      </c>
      <c r="E59" t="s">
        <v>622</v>
      </c>
      <c r="F59" s="1">
        <v>0</v>
      </c>
    </row>
    <row r="60" spans="1:6" x14ac:dyDescent="0.3">
      <c r="A60" s="2">
        <v>43871</v>
      </c>
      <c r="B60" s="43">
        <v>4.8611111111111112E-2</v>
      </c>
      <c r="C60" t="s">
        <v>649</v>
      </c>
      <c r="D60" t="s">
        <v>587</v>
      </c>
      <c r="E60" t="s">
        <v>622</v>
      </c>
      <c r="F60" s="1">
        <v>0</v>
      </c>
    </row>
    <row r="61" spans="1:6" x14ac:dyDescent="0.3">
      <c r="A61" s="2">
        <v>43871</v>
      </c>
      <c r="B61" s="43">
        <v>0.375</v>
      </c>
      <c r="C61" t="s">
        <v>651</v>
      </c>
      <c r="D61" t="s">
        <v>609</v>
      </c>
      <c r="E61" t="s">
        <v>622</v>
      </c>
      <c r="F61" s="1">
        <v>0</v>
      </c>
    </row>
    <row r="62" spans="1:6" x14ac:dyDescent="0.3">
      <c r="A62" s="2">
        <v>43873</v>
      </c>
      <c r="B62" s="43">
        <v>0.44930555555555557</v>
      </c>
      <c r="C62" t="s">
        <v>649</v>
      </c>
      <c r="D62" t="s">
        <v>587</v>
      </c>
      <c r="E62" t="s">
        <v>622</v>
      </c>
      <c r="F62" s="1">
        <v>0</v>
      </c>
    </row>
    <row r="63" spans="1:6" x14ac:dyDescent="0.3">
      <c r="A63" s="2">
        <v>43873</v>
      </c>
      <c r="B63" s="43">
        <v>0.88611111111111107</v>
      </c>
      <c r="C63" t="s">
        <v>649</v>
      </c>
      <c r="D63" t="s">
        <v>587</v>
      </c>
      <c r="E63" t="s">
        <v>608</v>
      </c>
      <c r="F63" s="1">
        <v>0</v>
      </c>
    </row>
    <row r="64" spans="1:6" x14ac:dyDescent="0.3">
      <c r="A64" s="2">
        <v>43874</v>
      </c>
      <c r="B64" s="43">
        <v>0.63194444444444442</v>
      </c>
      <c r="C64" t="s">
        <v>649</v>
      </c>
      <c r="D64" t="s">
        <v>604</v>
      </c>
      <c r="E64" t="s">
        <v>622</v>
      </c>
      <c r="F64" s="1">
        <v>0</v>
      </c>
    </row>
    <row r="65" spans="1:6" x14ac:dyDescent="0.3">
      <c r="A65" s="2">
        <v>43874</v>
      </c>
      <c r="B65" s="43">
        <v>0.83472222222222225</v>
      </c>
      <c r="C65" t="s">
        <v>649</v>
      </c>
      <c r="D65" t="s">
        <v>587</v>
      </c>
      <c r="E65" t="s">
        <v>586</v>
      </c>
      <c r="F65" s="1">
        <v>2</v>
      </c>
    </row>
    <row r="66" spans="1:6" x14ac:dyDescent="0.3">
      <c r="A66" s="2">
        <v>43875</v>
      </c>
      <c r="B66" s="43">
        <v>0.49513888888888885</v>
      </c>
      <c r="C66" t="s">
        <v>649</v>
      </c>
      <c r="D66" t="s">
        <v>602</v>
      </c>
      <c r="E66" t="s">
        <v>622</v>
      </c>
      <c r="F66" s="1">
        <v>0</v>
      </c>
    </row>
    <row r="67" spans="1:6" x14ac:dyDescent="0.3">
      <c r="A67" s="2">
        <v>43875</v>
      </c>
      <c r="B67" s="43">
        <v>0.65625</v>
      </c>
      <c r="C67" t="s">
        <v>652</v>
      </c>
      <c r="D67" t="s">
        <v>587</v>
      </c>
      <c r="E67" t="s">
        <v>586</v>
      </c>
      <c r="F67" s="1">
        <v>0</v>
      </c>
    </row>
    <row r="68" spans="1:6" x14ac:dyDescent="0.3">
      <c r="A68" s="2">
        <v>43876</v>
      </c>
      <c r="B68" s="43">
        <v>3.2638888888888891E-2</v>
      </c>
      <c r="C68" t="s">
        <v>649</v>
      </c>
      <c r="D68" t="s">
        <v>604</v>
      </c>
      <c r="E68" t="s">
        <v>622</v>
      </c>
      <c r="F68" s="1">
        <v>0</v>
      </c>
    </row>
    <row r="69" spans="1:6" x14ac:dyDescent="0.3">
      <c r="A69" s="2">
        <v>43876</v>
      </c>
      <c r="B69" s="43">
        <v>0.57361111111111118</v>
      </c>
      <c r="C69" t="s">
        <v>650</v>
      </c>
      <c r="D69" t="s">
        <v>592</v>
      </c>
      <c r="E69" t="s">
        <v>586</v>
      </c>
      <c r="F69" s="1">
        <v>0</v>
      </c>
    </row>
    <row r="70" spans="1:6" x14ac:dyDescent="0.3">
      <c r="A70" s="2">
        <v>43880</v>
      </c>
      <c r="B70" s="43">
        <v>0</v>
      </c>
      <c r="C70" t="s">
        <v>649</v>
      </c>
      <c r="D70" t="s">
        <v>604</v>
      </c>
      <c r="E70" t="s">
        <v>591</v>
      </c>
      <c r="F70" s="1">
        <v>0</v>
      </c>
    </row>
    <row r="71" spans="1:6" x14ac:dyDescent="0.3">
      <c r="A71" s="2">
        <v>43880</v>
      </c>
      <c r="B71" s="43">
        <v>0.52083333333333337</v>
      </c>
      <c r="C71" t="s">
        <v>650</v>
      </c>
      <c r="D71" t="s">
        <v>609</v>
      </c>
      <c r="E71" t="s">
        <v>586</v>
      </c>
      <c r="F71" s="1">
        <v>0</v>
      </c>
    </row>
    <row r="72" spans="1:6" x14ac:dyDescent="0.3">
      <c r="A72" s="2">
        <v>43880</v>
      </c>
      <c r="B72" s="43">
        <v>0.70486111111111116</v>
      </c>
      <c r="C72" t="s">
        <v>652</v>
      </c>
      <c r="D72" t="s">
        <v>587</v>
      </c>
      <c r="E72" t="s">
        <v>586</v>
      </c>
      <c r="F72" s="1">
        <v>0</v>
      </c>
    </row>
    <row r="73" spans="1:6" x14ac:dyDescent="0.3">
      <c r="A73" s="2">
        <v>43883</v>
      </c>
      <c r="B73" s="43">
        <v>0.89513888888888893</v>
      </c>
      <c r="C73" t="s">
        <v>649</v>
      </c>
      <c r="D73" t="s">
        <v>609</v>
      </c>
      <c r="E73" t="s">
        <v>586</v>
      </c>
      <c r="F73" s="1">
        <v>0</v>
      </c>
    </row>
    <row r="74" spans="1:6" x14ac:dyDescent="0.3">
      <c r="A74" s="2">
        <v>43885</v>
      </c>
      <c r="B74" s="43">
        <v>0.48680555555555555</v>
      </c>
      <c r="C74" t="s">
        <v>649</v>
      </c>
      <c r="D74" t="s">
        <v>602</v>
      </c>
      <c r="E74" t="s">
        <v>586</v>
      </c>
      <c r="F74" s="1">
        <v>0</v>
      </c>
    </row>
    <row r="75" spans="1:6" x14ac:dyDescent="0.3">
      <c r="A75" s="2">
        <v>43886</v>
      </c>
      <c r="B75" s="43">
        <v>0.48541666666666666</v>
      </c>
      <c r="C75" t="s">
        <v>652</v>
      </c>
      <c r="D75" t="s">
        <v>587</v>
      </c>
      <c r="E75" t="s">
        <v>622</v>
      </c>
      <c r="F75" s="1">
        <v>0</v>
      </c>
    </row>
    <row r="76" spans="1:6" x14ac:dyDescent="0.3">
      <c r="A76" s="2">
        <v>43887</v>
      </c>
      <c r="B76" s="43">
        <v>0.36805555555555558</v>
      </c>
      <c r="C76" t="s">
        <v>649</v>
      </c>
      <c r="D76" t="s">
        <v>587</v>
      </c>
      <c r="E76" t="s">
        <v>586</v>
      </c>
      <c r="F76" s="1">
        <v>0</v>
      </c>
    </row>
    <row r="77" spans="1:6" x14ac:dyDescent="0.3">
      <c r="A77" s="2">
        <v>43887</v>
      </c>
      <c r="B77" s="43">
        <v>0.4375</v>
      </c>
      <c r="C77" t="s">
        <v>649</v>
      </c>
      <c r="D77" t="s">
        <v>592</v>
      </c>
      <c r="E77" t="s">
        <v>608</v>
      </c>
      <c r="F77" s="1">
        <v>0</v>
      </c>
    </row>
    <row r="78" spans="1:6" x14ac:dyDescent="0.3">
      <c r="A78" s="2">
        <v>43888</v>
      </c>
      <c r="B78" s="43">
        <v>0.42708333333333331</v>
      </c>
      <c r="C78" t="s">
        <v>649</v>
      </c>
      <c r="D78" t="s">
        <v>587</v>
      </c>
      <c r="E78" t="s">
        <v>586</v>
      </c>
      <c r="F78" s="1">
        <v>0</v>
      </c>
    </row>
    <row r="79" spans="1:6" x14ac:dyDescent="0.3">
      <c r="A79" s="2">
        <v>43888</v>
      </c>
      <c r="B79" s="43">
        <v>0.89583333333333337</v>
      </c>
      <c r="C79" t="s">
        <v>649</v>
      </c>
      <c r="D79" t="s">
        <v>609</v>
      </c>
      <c r="E79" t="s">
        <v>622</v>
      </c>
      <c r="F79" s="1">
        <v>0</v>
      </c>
    </row>
    <row r="80" spans="1:6" x14ac:dyDescent="0.3">
      <c r="A80" s="2">
        <v>43889</v>
      </c>
      <c r="B80" s="43">
        <v>0.52847222222222223</v>
      </c>
      <c r="C80" t="s">
        <v>651</v>
      </c>
      <c r="D80" t="s">
        <v>587</v>
      </c>
      <c r="E80" t="s">
        <v>586</v>
      </c>
      <c r="F80" s="1">
        <v>0</v>
      </c>
    </row>
    <row r="81" spans="1:6" x14ac:dyDescent="0.3">
      <c r="A81" s="2">
        <v>43889</v>
      </c>
      <c r="B81" s="43">
        <v>0.72916666666666663</v>
      </c>
      <c r="C81" t="s">
        <v>649</v>
      </c>
      <c r="D81" t="s">
        <v>609</v>
      </c>
      <c r="E81" t="s">
        <v>622</v>
      </c>
      <c r="F81" s="1">
        <v>0</v>
      </c>
    </row>
    <row r="82" spans="1:6" x14ac:dyDescent="0.3">
      <c r="A82" s="2">
        <v>43889</v>
      </c>
      <c r="B82" s="43">
        <v>0.83333333333333337</v>
      </c>
      <c r="C82" t="s">
        <v>652</v>
      </c>
      <c r="D82" t="s">
        <v>587</v>
      </c>
      <c r="E82" t="s">
        <v>586</v>
      </c>
      <c r="F82" s="1">
        <v>0</v>
      </c>
    </row>
    <row r="83" spans="1:6" x14ac:dyDescent="0.3">
      <c r="A83" s="2">
        <v>43890</v>
      </c>
      <c r="B83" s="43">
        <v>9.0277777777777776E-2</v>
      </c>
      <c r="C83" t="s">
        <v>650</v>
      </c>
      <c r="D83" t="s">
        <v>587</v>
      </c>
      <c r="E83" t="s">
        <v>586</v>
      </c>
      <c r="F83" s="1">
        <v>0</v>
      </c>
    </row>
    <row r="84" spans="1:6" x14ac:dyDescent="0.3">
      <c r="A84" s="2">
        <v>43890</v>
      </c>
      <c r="B84" s="43">
        <v>0.66180555555555554</v>
      </c>
      <c r="C84" t="s">
        <v>649</v>
      </c>
      <c r="D84" t="s">
        <v>587</v>
      </c>
      <c r="E84" t="s">
        <v>591</v>
      </c>
      <c r="F84" s="1">
        <v>0</v>
      </c>
    </row>
    <row r="85" spans="1:6" x14ac:dyDescent="0.3">
      <c r="A85" s="2">
        <v>43890</v>
      </c>
      <c r="B85" s="43">
        <v>0.96527777777777779</v>
      </c>
      <c r="C85" t="s">
        <v>649</v>
      </c>
      <c r="D85" t="s">
        <v>587</v>
      </c>
      <c r="E85" t="s">
        <v>622</v>
      </c>
      <c r="F85" s="1">
        <v>0</v>
      </c>
    </row>
    <row r="86" spans="1:6" x14ac:dyDescent="0.3">
      <c r="A86" s="2">
        <v>43891</v>
      </c>
      <c r="B86" s="43">
        <v>7.9166666666666663E-2</v>
      </c>
      <c r="C86" t="s">
        <v>649</v>
      </c>
      <c r="D86" t="s">
        <v>587</v>
      </c>
      <c r="E86" t="s">
        <v>586</v>
      </c>
      <c r="F86" s="1">
        <v>0</v>
      </c>
    </row>
    <row r="87" spans="1:6" x14ac:dyDescent="0.3">
      <c r="A87" s="2">
        <v>43891</v>
      </c>
      <c r="B87" s="43">
        <v>0.8041666666666667</v>
      </c>
      <c r="C87" t="s">
        <v>651</v>
      </c>
      <c r="D87" t="s">
        <v>592</v>
      </c>
      <c r="E87" t="s">
        <v>608</v>
      </c>
      <c r="F87" s="1">
        <v>0</v>
      </c>
    </row>
    <row r="88" spans="1:6" x14ac:dyDescent="0.3">
      <c r="A88" s="2">
        <v>43891</v>
      </c>
      <c r="B88" s="43">
        <v>0.84027777777777779</v>
      </c>
      <c r="C88" t="s">
        <v>652</v>
      </c>
      <c r="D88" t="s">
        <v>604</v>
      </c>
      <c r="E88" t="s">
        <v>586</v>
      </c>
      <c r="F88" s="1">
        <v>0</v>
      </c>
    </row>
    <row r="89" spans="1:6" x14ac:dyDescent="0.3">
      <c r="A89" s="2">
        <v>43891</v>
      </c>
      <c r="B89" s="43">
        <v>0.91666666666666663</v>
      </c>
      <c r="C89" t="s">
        <v>649</v>
      </c>
      <c r="D89" t="s">
        <v>587</v>
      </c>
      <c r="E89" t="s">
        <v>622</v>
      </c>
      <c r="F89" s="1">
        <v>0</v>
      </c>
    </row>
    <row r="90" spans="1:6" x14ac:dyDescent="0.3">
      <c r="A90" s="2">
        <v>43892</v>
      </c>
      <c r="B90" s="43">
        <v>0.47986111111111113</v>
      </c>
      <c r="C90" t="s">
        <v>649</v>
      </c>
      <c r="D90" t="s">
        <v>587</v>
      </c>
      <c r="E90" t="s">
        <v>586</v>
      </c>
      <c r="F90" s="1">
        <v>0</v>
      </c>
    </row>
    <row r="91" spans="1:6" x14ac:dyDescent="0.3">
      <c r="A91" s="2">
        <v>43892</v>
      </c>
      <c r="B91" s="43">
        <v>0.5</v>
      </c>
      <c r="C91" t="s">
        <v>649</v>
      </c>
      <c r="D91" t="s">
        <v>627</v>
      </c>
      <c r="E91" t="s">
        <v>624</v>
      </c>
      <c r="F91" s="1">
        <v>0</v>
      </c>
    </row>
    <row r="92" spans="1:6" x14ac:dyDescent="0.3">
      <c r="A92" s="2">
        <v>43892</v>
      </c>
      <c r="B92" s="43">
        <v>0.61805555555555558</v>
      </c>
      <c r="C92" t="s">
        <v>649</v>
      </c>
      <c r="D92" t="s">
        <v>609</v>
      </c>
      <c r="E92" t="s">
        <v>622</v>
      </c>
      <c r="F92" s="1">
        <v>0</v>
      </c>
    </row>
    <row r="93" spans="1:6" x14ac:dyDescent="0.3">
      <c r="A93" s="2">
        <v>43893</v>
      </c>
      <c r="B93" s="43">
        <v>0.3611111111111111</v>
      </c>
      <c r="C93" t="s">
        <v>650</v>
      </c>
      <c r="D93" t="s">
        <v>606</v>
      </c>
      <c r="E93" t="s">
        <v>586</v>
      </c>
      <c r="F93" s="1">
        <v>0</v>
      </c>
    </row>
    <row r="94" spans="1:6" x14ac:dyDescent="0.3">
      <c r="A94" s="2">
        <v>43893</v>
      </c>
      <c r="B94" s="43">
        <v>0.85069444444444453</v>
      </c>
      <c r="C94" t="s">
        <v>649</v>
      </c>
      <c r="D94" t="s">
        <v>587</v>
      </c>
      <c r="E94" t="s">
        <v>622</v>
      </c>
      <c r="F94" s="1">
        <v>0</v>
      </c>
    </row>
    <row r="95" spans="1:6" x14ac:dyDescent="0.3">
      <c r="A95" s="2">
        <v>43894</v>
      </c>
      <c r="B95" s="43">
        <v>3.472222222222222E-3</v>
      </c>
      <c r="C95" t="s">
        <v>652</v>
      </c>
      <c r="D95" t="s">
        <v>588</v>
      </c>
      <c r="E95" t="s">
        <v>601</v>
      </c>
      <c r="F95" s="1">
        <v>0</v>
      </c>
    </row>
    <row r="96" spans="1:6" x14ac:dyDescent="0.3">
      <c r="A96" s="2">
        <v>43895</v>
      </c>
      <c r="B96" s="43">
        <v>0.47916666666666669</v>
      </c>
      <c r="C96" t="s">
        <v>649</v>
      </c>
      <c r="D96" t="s">
        <v>604</v>
      </c>
      <c r="E96" t="s">
        <v>601</v>
      </c>
      <c r="F96" s="1">
        <v>0</v>
      </c>
    </row>
    <row r="97" spans="1:6" x14ac:dyDescent="0.3">
      <c r="A97" s="2">
        <v>43896</v>
      </c>
      <c r="B97" s="43">
        <v>2.2222222222222223E-2</v>
      </c>
      <c r="C97" t="s">
        <v>649</v>
      </c>
      <c r="D97" t="s">
        <v>596</v>
      </c>
      <c r="E97" t="s">
        <v>622</v>
      </c>
      <c r="F97" s="1">
        <v>0</v>
      </c>
    </row>
    <row r="98" spans="1:6" x14ac:dyDescent="0.3">
      <c r="A98" s="2">
        <v>43896</v>
      </c>
      <c r="B98" s="43">
        <v>9.7916666666666666E-2</v>
      </c>
      <c r="C98" t="s">
        <v>649</v>
      </c>
      <c r="D98" t="s">
        <v>619</v>
      </c>
      <c r="E98" t="s">
        <v>598</v>
      </c>
      <c r="F98" s="1">
        <v>0</v>
      </c>
    </row>
    <row r="99" spans="1:6" x14ac:dyDescent="0.3">
      <c r="A99" s="2">
        <v>43896</v>
      </c>
      <c r="B99" s="43">
        <v>0.88194444444444453</v>
      </c>
      <c r="C99" t="s">
        <v>652</v>
      </c>
      <c r="D99" t="s">
        <v>587</v>
      </c>
      <c r="E99" t="s">
        <v>586</v>
      </c>
      <c r="F99" s="1">
        <v>1</v>
      </c>
    </row>
    <row r="100" spans="1:6" x14ac:dyDescent="0.3">
      <c r="A100" s="2">
        <v>43896</v>
      </c>
      <c r="B100" s="43">
        <v>0.89930555555555547</v>
      </c>
      <c r="C100" t="s">
        <v>649</v>
      </c>
      <c r="D100" t="s">
        <v>599</v>
      </c>
      <c r="E100" t="s">
        <v>586</v>
      </c>
      <c r="F100" s="1">
        <v>0</v>
      </c>
    </row>
    <row r="101" spans="1:6" x14ac:dyDescent="0.3">
      <c r="A101" s="2">
        <v>43897</v>
      </c>
      <c r="B101" s="43">
        <v>0.57708333333333328</v>
      </c>
      <c r="C101" t="s">
        <v>649</v>
      </c>
      <c r="D101" t="s">
        <v>588</v>
      </c>
      <c r="E101" t="s">
        <v>586</v>
      </c>
      <c r="F101" s="1">
        <v>0</v>
      </c>
    </row>
    <row r="102" spans="1:6" x14ac:dyDescent="0.3">
      <c r="A102" s="2">
        <v>43898</v>
      </c>
      <c r="B102" s="43">
        <v>0.14861111111111111</v>
      </c>
      <c r="C102" t="s">
        <v>649</v>
      </c>
      <c r="D102" t="s">
        <v>609</v>
      </c>
      <c r="E102" t="s">
        <v>622</v>
      </c>
      <c r="F102" s="1">
        <v>0</v>
      </c>
    </row>
    <row r="103" spans="1:6" x14ac:dyDescent="0.3">
      <c r="A103" s="2">
        <v>43898</v>
      </c>
      <c r="B103" s="43">
        <v>0.22361111111111109</v>
      </c>
      <c r="C103" t="s">
        <v>652</v>
      </c>
      <c r="D103" t="s">
        <v>604</v>
      </c>
      <c r="E103" t="s">
        <v>586</v>
      </c>
      <c r="F103" s="1">
        <v>0</v>
      </c>
    </row>
    <row r="104" spans="1:6" x14ac:dyDescent="0.3">
      <c r="A104" s="2">
        <v>43898</v>
      </c>
      <c r="B104" s="43">
        <v>0.83333333333333337</v>
      </c>
      <c r="C104" t="s">
        <v>649</v>
      </c>
      <c r="D104" t="s">
        <v>606</v>
      </c>
      <c r="E104" t="s">
        <v>622</v>
      </c>
      <c r="F104" s="1">
        <v>0</v>
      </c>
    </row>
    <row r="105" spans="1:6" x14ac:dyDescent="0.3">
      <c r="A105" s="2">
        <v>43898</v>
      </c>
      <c r="B105" s="43">
        <v>0.90972222222222221</v>
      </c>
      <c r="C105" t="s">
        <v>649</v>
      </c>
      <c r="D105" t="s">
        <v>587</v>
      </c>
      <c r="E105" t="s">
        <v>586</v>
      </c>
      <c r="F105" s="1">
        <v>0</v>
      </c>
    </row>
    <row r="106" spans="1:6" x14ac:dyDescent="0.3">
      <c r="A106" s="2">
        <v>43899</v>
      </c>
      <c r="B106" s="43">
        <v>2.013888888888889E-2</v>
      </c>
      <c r="C106" t="s">
        <v>649</v>
      </c>
      <c r="D106" t="s">
        <v>587</v>
      </c>
      <c r="E106" t="s">
        <v>586</v>
      </c>
      <c r="F106" s="1">
        <v>1</v>
      </c>
    </row>
    <row r="107" spans="1:6" x14ac:dyDescent="0.3">
      <c r="A107" s="2">
        <v>43899</v>
      </c>
      <c r="B107" s="43">
        <v>0.7416666666666667</v>
      </c>
      <c r="C107" t="s">
        <v>651</v>
      </c>
      <c r="D107" t="s">
        <v>592</v>
      </c>
      <c r="E107" t="s">
        <v>586</v>
      </c>
      <c r="F107" s="1">
        <v>0</v>
      </c>
    </row>
    <row r="108" spans="1:6" x14ac:dyDescent="0.3">
      <c r="A108" s="2">
        <v>43900</v>
      </c>
      <c r="B108" s="43">
        <v>0.78194444444444444</v>
      </c>
      <c r="C108" t="s">
        <v>649</v>
      </c>
      <c r="D108" t="s">
        <v>604</v>
      </c>
      <c r="E108" t="s">
        <v>586</v>
      </c>
      <c r="F108" s="1">
        <v>0</v>
      </c>
    </row>
    <row r="109" spans="1:6" x14ac:dyDescent="0.3">
      <c r="A109" s="2">
        <v>43901</v>
      </c>
      <c r="B109" s="43">
        <v>0.53055555555555556</v>
      </c>
      <c r="C109" t="s">
        <v>649</v>
      </c>
      <c r="D109" t="s">
        <v>585</v>
      </c>
      <c r="E109" t="s">
        <v>586</v>
      </c>
      <c r="F109" s="1">
        <v>0</v>
      </c>
    </row>
    <row r="110" spans="1:6" x14ac:dyDescent="0.3">
      <c r="A110" s="2">
        <v>43901</v>
      </c>
      <c r="B110" s="43">
        <v>0.68402777777777779</v>
      </c>
      <c r="C110" t="s">
        <v>649</v>
      </c>
      <c r="D110" t="s">
        <v>587</v>
      </c>
      <c r="E110" t="s">
        <v>586</v>
      </c>
      <c r="F110" s="1">
        <v>0</v>
      </c>
    </row>
    <row r="111" spans="1:6" x14ac:dyDescent="0.3">
      <c r="A111" s="2">
        <v>43901</v>
      </c>
      <c r="B111" s="43">
        <v>0.70833333333333337</v>
      </c>
      <c r="C111" t="s">
        <v>649</v>
      </c>
      <c r="D111" t="s">
        <v>609</v>
      </c>
      <c r="E111" t="s">
        <v>586</v>
      </c>
      <c r="F111" s="1">
        <v>2</v>
      </c>
    </row>
    <row r="112" spans="1:6" x14ac:dyDescent="0.3">
      <c r="A112" s="2">
        <v>43901</v>
      </c>
      <c r="B112" s="43">
        <v>0.93055555555555547</v>
      </c>
      <c r="C112" t="s">
        <v>649</v>
      </c>
      <c r="D112" t="s">
        <v>587</v>
      </c>
      <c r="E112" t="s">
        <v>591</v>
      </c>
      <c r="F112" s="1">
        <v>1</v>
      </c>
    </row>
    <row r="113" spans="1:6" x14ac:dyDescent="0.3">
      <c r="A113" s="2">
        <v>43902</v>
      </c>
      <c r="B113" s="43">
        <v>0.56944444444444442</v>
      </c>
      <c r="C113" t="s">
        <v>651</v>
      </c>
      <c r="D113" t="s">
        <v>587</v>
      </c>
      <c r="E113" t="s">
        <v>586</v>
      </c>
      <c r="F113" s="1">
        <v>0</v>
      </c>
    </row>
    <row r="114" spans="1:6" x14ac:dyDescent="0.3">
      <c r="A114" s="2">
        <v>43902</v>
      </c>
      <c r="B114" s="43">
        <v>0.99722222222222223</v>
      </c>
      <c r="C114" t="s">
        <v>649</v>
      </c>
      <c r="D114" t="s">
        <v>587</v>
      </c>
      <c r="E114" t="s">
        <v>622</v>
      </c>
      <c r="F114" s="1">
        <v>0</v>
      </c>
    </row>
    <row r="115" spans="1:6" x14ac:dyDescent="0.3">
      <c r="A115" s="2">
        <v>43903</v>
      </c>
      <c r="B115" s="43">
        <v>0.72083333333333333</v>
      </c>
      <c r="C115" t="s">
        <v>649</v>
      </c>
      <c r="D115" t="s">
        <v>587</v>
      </c>
      <c r="E115" t="s">
        <v>622</v>
      </c>
      <c r="F115" s="1">
        <v>0</v>
      </c>
    </row>
    <row r="116" spans="1:6" x14ac:dyDescent="0.3">
      <c r="A116" s="2">
        <v>43903</v>
      </c>
      <c r="B116" s="43">
        <v>0.77430555555555547</v>
      </c>
      <c r="C116" t="s">
        <v>649</v>
      </c>
      <c r="D116" t="s">
        <v>617</v>
      </c>
      <c r="E116" t="s">
        <v>591</v>
      </c>
      <c r="F116" s="1">
        <v>1</v>
      </c>
    </row>
    <row r="117" spans="1:6" x14ac:dyDescent="0.3">
      <c r="A117" s="2">
        <v>43904</v>
      </c>
      <c r="B117" s="43">
        <v>0.44444444444444442</v>
      </c>
      <c r="C117" t="s">
        <v>650</v>
      </c>
      <c r="D117" t="s">
        <v>613</v>
      </c>
      <c r="E117" t="s">
        <v>608</v>
      </c>
      <c r="F117" s="1">
        <v>0</v>
      </c>
    </row>
    <row r="118" spans="1:6" x14ac:dyDescent="0.3">
      <c r="A118" s="2">
        <v>43904</v>
      </c>
      <c r="B118" s="43">
        <v>0.92847222222222225</v>
      </c>
      <c r="C118" t="s">
        <v>651</v>
      </c>
      <c r="D118" t="s">
        <v>587</v>
      </c>
      <c r="E118" t="s">
        <v>607</v>
      </c>
      <c r="F118" s="1">
        <v>2</v>
      </c>
    </row>
    <row r="119" spans="1:6" x14ac:dyDescent="0.3">
      <c r="A119" s="2">
        <v>43905</v>
      </c>
      <c r="B119" s="43">
        <v>0.69444444444444453</v>
      </c>
      <c r="C119" t="s">
        <v>652</v>
      </c>
      <c r="D119" t="s">
        <v>587</v>
      </c>
      <c r="E119" t="s">
        <v>586</v>
      </c>
      <c r="F119" s="1">
        <v>0</v>
      </c>
    </row>
    <row r="120" spans="1:6" x14ac:dyDescent="0.3">
      <c r="A120" s="2">
        <v>43906</v>
      </c>
      <c r="B120" s="43">
        <v>3.0555555555555555E-2</v>
      </c>
      <c r="C120" t="s">
        <v>649</v>
      </c>
      <c r="D120" t="s">
        <v>587</v>
      </c>
      <c r="E120" t="s">
        <v>598</v>
      </c>
      <c r="F120" s="1">
        <v>0</v>
      </c>
    </row>
    <row r="121" spans="1:6" x14ac:dyDescent="0.3">
      <c r="A121" s="2">
        <v>43910</v>
      </c>
      <c r="B121" s="43">
        <v>0</v>
      </c>
      <c r="C121" t="s">
        <v>649</v>
      </c>
      <c r="D121" t="s">
        <v>611</v>
      </c>
      <c r="E121" t="s">
        <v>591</v>
      </c>
      <c r="F121" s="1">
        <v>1</v>
      </c>
    </row>
    <row r="122" spans="1:6" x14ac:dyDescent="0.3">
      <c r="A122" s="2">
        <v>43910</v>
      </c>
      <c r="B122" s="43">
        <v>0.36805555555555558</v>
      </c>
      <c r="C122" t="s">
        <v>649</v>
      </c>
      <c r="D122" t="s">
        <v>587</v>
      </c>
      <c r="E122" t="s">
        <v>586</v>
      </c>
      <c r="F122" s="1">
        <v>1</v>
      </c>
    </row>
    <row r="123" spans="1:6" x14ac:dyDescent="0.3">
      <c r="A123" s="2">
        <v>43911</v>
      </c>
      <c r="B123" s="43">
        <v>0.65277777777777779</v>
      </c>
      <c r="C123" t="s">
        <v>649</v>
      </c>
      <c r="D123" t="s">
        <v>602</v>
      </c>
      <c r="E123" t="s">
        <v>601</v>
      </c>
      <c r="F123" s="1">
        <v>0</v>
      </c>
    </row>
    <row r="124" spans="1:6" x14ac:dyDescent="0.3">
      <c r="A124" s="2">
        <v>43911</v>
      </c>
      <c r="B124" s="43">
        <v>0.875</v>
      </c>
      <c r="C124" t="s">
        <v>651</v>
      </c>
      <c r="D124" t="s">
        <v>587</v>
      </c>
      <c r="E124" t="s">
        <v>586</v>
      </c>
      <c r="F124" s="1">
        <v>0</v>
      </c>
    </row>
    <row r="125" spans="1:6" x14ac:dyDescent="0.3">
      <c r="A125" s="2">
        <v>43912</v>
      </c>
      <c r="B125" s="43">
        <v>0.3888888888888889</v>
      </c>
      <c r="C125" t="s">
        <v>651</v>
      </c>
      <c r="D125" t="s">
        <v>609</v>
      </c>
      <c r="E125" t="s">
        <v>586</v>
      </c>
      <c r="F125" s="1">
        <v>1</v>
      </c>
    </row>
    <row r="126" spans="1:6" x14ac:dyDescent="0.3">
      <c r="A126" s="2">
        <v>43917</v>
      </c>
      <c r="B126" s="43">
        <v>0.73402777777777783</v>
      </c>
      <c r="C126" t="s">
        <v>649</v>
      </c>
      <c r="D126" t="s">
        <v>587</v>
      </c>
      <c r="E126" t="s">
        <v>607</v>
      </c>
      <c r="F126" s="1">
        <v>0</v>
      </c>
    </row>
    <row r="127" spans="1:6" x14ac:dyDescent="0.3">
      <c r="A127" s="2">
        <v>43918</v>
      </c>
      <c r="B127" s="43">
        <v>0.625</v>
      </c>
      <c r="C127" t="s">
        <v>650</v>
      </c>
      <c r="D127" t="s">
        <v>587</v>
      </c>
      <c r="E127" t="s">
        <v>586</v>
      </c>
      <c r="F127" s="1">
        <v>0</v>
      </c>
    </row>
    <row r="128" spans="1:6" x14ac:dyDescent="0.3">
      <c r="A128" s="2">
        <v>43918</v>
      </c>
      <c r="B128" s="43">
        <v>0.93055555555555547</v>
      </c>
      <c r="C128" t="s">
        <v>649</v>
      </c>
      <c r="D128" t="s">
        <v>616</v>
      </c>
      <c r="E128" t="s">
        <v>622</v>
      </c>
      <c r="F128" s="1">
        <v>0</v>
      </c>
    </row>
    <row r="129" spans="1:6" x14ac:dyDescent="0.3">
      <c r="A129" s="2">
        <v>43935</v>
      </c>
      <c r="B129" s="43">
        <v>0.85416666666666663</v>
      </c>
      <c r="C129" t="s">
        <v>650</v>
      </c>
      <c r="D129" t="s">
        <v>587</v>
      </c>
      <c r="E129" t="s">
        <v>591</v>
      </c>
      <c r="F129" s="1">
        <v>1</v>
      </c>
    </row>
    <row r="130" spans="1:6" x14ac:dyDescent="0.3">
      <c r="A130" s="2">
        <v>43937</v>
      </c>
      <c r="B130" s="43">
        <v>0.51736111111111105</v>
      </c>
      <c r="C130" t="s">
        <v>651</v>
      </c>
      <c r="D130" t="s">
        <v>595</v>
      </c>
      <c r="E130" t="s">
        <v>628</v>
      </c>
      <c r="F130" s="1">
        <v>1</v>
      </c>
    </row>
    <row r="131" spans="1:6" x14ac:dyDescent="0.3">
      <c r="A131" s="2">
        <v>43951</v>
      </c>
      <c r="B131" s="43">
        <v>0.27013888888888887</v>
      </c>
      <c r="C131" t="s">
        <v>649</v>
      </c>
      <c r="D131" t="s">
        <v>587</v>
      </c>
      <c r="E131" t="s">
        <v>622</v>
      </c>
      <c r="F131" s="1">
        <v>0</v>
      </c>
    </row>
    <row r="132" spans="1:6" x14ac:dyDescent="0.3">
      <c r="A132" s="2">
        <v>43953</v>
      </c>
      <c r="B132" s="43">
        <v>0.61597222222222225</v>
      </c>
      <c r="C132" t="s">
        <v>649</v>
      </c>
      <c r="D132" t="s">
        <v>587</v>
      </c>
      <c r="E132" t="s">
        <v>591</v>
      </c>
      <c r="F132" s="1">
        <v>1</v>
      </c>
    </row>
    <row r="133" spans="1:6" x14ac:dyDescent="0.3">
      <c r="A133" s="2">
        <v>43964</v>
      </c>
      <c r="B133" s="43">
        <v>0.89583333333333337</v>
      </c>
      <c r="C133" t="s">
        <v>651</v>
      </c>
      <c r="D133" t="s">
        <v>609</v>
      </c>
      <c r="E133" t="s">
        <v>586</v>
      </c>
      <c r="F133" s="1">
        <v>3</v>
      </c>
    </row>
    <row r="134" spans="1:6" x14ac:dyDescent="0.3">
      <c r="A134" s="2">
        <v>43964</v>
      </c>
      <c r="B134" s="43">
        <v>0.94305555555555554</v>
      </c>
      <c r="C134" t="s">
        <v>650</v>
      </c>
      <c r="D134" t="s">
        <v>592</v>
      </c>
      <c r="E134" t="s">
        <v>586</v>
      </c>
      <c r="F134" s="1">
        <v>0</v>
      </c>
    </row>
    <row r="135" spans="1:6" x14ac:dyDescent="0.3">
      <c r="A135" s="2">
        <v>43967</v>
      </c>
      <c r="B135" s="43">
        <v>0.70833333333333337</v>
      </c>
      <c r="C135" t="s">
        <v>651</v>
      </c>
      <c r="D135" t="s">
        <v>596</v>
      </c>
      <c r="E135" t="s">
        <v>591</v>
      </c>
      <c r="F135" s="1">
        <v>1</v>
      </c>
    </row>
    <row r="136" spans="1:6" x14ac:dyDescent="0.3">
      <c r="A136" s="2">
        <v>43969</v>
      </c>
      <c r="B136" s="43">
        <v>0.65347222222222223</v>
      </c>
      <c r="C136" t="s">
        <v>651</v>
      </c>
      <c r="D136" t="s">
        <v>599</v>
      </c>
      <c r="E136" t="s">
        <v>586</v>
      </c>
      <c r="F136" s="1">
        <v>0</v>
      </c>
    </row>
    <row r="137" spans="1:6" x14ac:dyDescent="0.3">
      <c r="A137" s="2">
        <v>43971</v>
      </c>
      <c r="B137" s="43">
        <v>0.15486111111111112</v>
      </c>
      <c r="C137" t="s">
        <v>650</v>
      </c>
      <c r="D137" t="s">
        <v>588</v>
      </c>
      <c r="E137" t="s">
        <v>605</v>
      </c>
      <c r="F137" s="1">
        <v>0</v>
      </c>
    </row>
    <row r="138" spans="1:6" x14ac:dyDescent="0.3">
      <c r="A138" s="2">
        <v>43973</v>
      </c>
      <c r="B138" s="43">
        <v>0.99722222222222223</v>
      </c>
      <c r="C138" t="s">
        <v>650</v>
      </c>
      <c r="D138" t="s">
        <v>587</v>
      </c>
      <c r="E138" t="s">
        <v>586</v>
      </c>
      <c r="F138" s="1">
        <v>1</v>
      </c>
    </row>
    <row r="139" spans="1:6" x14ac:dyDescent="0.3">
      <c r="A139" s="2">
        <v>43974</v>
      </c>
      <c r="B139" s="43">
        <v>0.72916666666666663</v>
      </c>
      <c r="C139" t="s">
        <v>652</v>
      </c>
      <c r="D139" t="s">
        <v>606</v>
      </c>
      <c r="E139" t="s">
        <v>586</v>
      </c>
      <c r="F139" s="1">
        <v>0</v>
      </c>
    </row>
    <row r="140" spans="1:6" x14ac:dyDescent="0.3">
      <c r="A140" s="2">
        <v>43976</v>
      </c>
      <c r="B140" s="43">
        <v>0.78819444444444453</v>
      </c>
      <c r="C140" t="s">
        <v>651</v>
      </c>
      <c r="D140" t="s">
        <v>609</v>
      </c>
      <c r="E140" t="s">
        <v>586</v>
      </c>
      <c r="F140" s="1">
        <v>0</v>
      </c>
    </row>
    <row r="141" spans="1:6" x14ac:dyDescent="0.3">
      <c r="A141" s="2">
        <v>43982</v>
      </c>
      <c r="B141" s="43">
        <v>3.125E-2</v>
      </c>
      <c r="C141" t="s">
        <v>652</v>
      </c>
      <c r="D141" t="s">
        <v>609</v>
      </c>
      <c r="E141" t="s">
        <v>586</v>
      </c>
      <c r="F141" s="1">
        <v>0</v>
      </c>
    </row>
    <row r="142" spans="1:6" x14ac:dyDescent="0.3">
      <c r="A142" s="2">
        <v>43982</v>
      </c>
      <c r="B142" s="43">
        <v>9.6527777777777768E-2</v>
      </c>
      <c r="C142" t="s">
        <v>650</v>
      </c>
      <c r="D142" t="s">
        <v>609</v>
      </c>
      <c r="E142" t="s">
        <v>586</v>
      </c>
      <c r="F142" s="1">
        <v>2</v>
      </c>
    </row>
    <row r="143" spans="1:6" x14ac:dyDescent="0.3">
      <c r="A143" s="2">
        <v>43995</v>
      </c>
      <c r="B143" s="43">
        <v>0.87847222222222221</v>
      </c>
      <c r="C143" t="s">
        <v>649</v>
      </c>
      <c r="D143" t="s">
        <v>596</v>
      </c>
      <c r="E143" t="s">
        <v>591</v>
      </c>
      <c r="F143" s="1">
        <v>1</v>
      </c>
    </row>
    <row r="144" spans="1:6" x14ac:dyDescent="0.3">
      <c r="A144" s="2">
        <v>43998</v>
      </c>
      <c r="B144" s="43">
        <v>0.92708333333333337</v>
      </c>
      <c r="C144" t="s">
        <v>649</v>
      </c>
      <c r="D144" t="s">
        <v>592</v>
      </c>
      <c r="E144" t="s">
        <v>586</v>
      </c>
      <c r="F144" s="1">
        <v>2</v>
      </c>
    </row>
    <row r="145" spans="1:6" x14ac:dyDescent="0.3">
      <c r="A145" s="2">
        <v>44007</v>
      </c>
      <c r="B145" s="43">
        <v>0.15069444444444444</v>
      </c>
      <c r="C145" t="s">
        <v>649</v>
      </c>
      <c r="D145" t="s">
        <v>587</v>
      </c>
      <c r="E145" t="s">
        <v>591</v>
      </c>
      <c r="F145" s="1">
        <v>1</v>
      </c>
    </row>
    <row r="146" spans="1:6" x14ac:dyDescent="0.3">
      <c r="A146" s="2">
        <v>44007</v>
      </c>
      <c r="B146" s="43">
        <v>0.90763888888888899</v>
      </c>
      <c r="C146" t="s">
        <v>649</v>
      </c>
      <c r="D146" t="s">
        <v>587</v>
      </c>
      <c r="E146" t="s">
        <v>586</v>
      </c>
      <c r="F146" s="1">
        <v>1</v>
      </c>
    </row>
    <row r="147" spans="1:6" x14ac:dyDescent="0.3">
      <c r="A147" s="2">
        <v>44013</v>
      </c>
      <c r="B147" s="43">
        <v>6.5972222222222224E-2</v>
      </c>
      <c r="C147" t="s">
        <v>649</v>
      </c>
      <c r="D147" t="s">
        <v>593</v>
      </c>
      <c r="E147" t="s">
        <v>586</v>
      </c>
      <c r="F147" s="1">
        <v>2</v>
      </c>
    </row>
    <row r="148" spans="1:6" x14ac:dyDescent="0.3">
      <c r="A148" s="2">
        <v>44016</v>
      </c>
      <c r="B148" s="43">
        <v>0.71388888888888891</v>
      </c>
      <c r="C148" t="s">
        <v>651</v>
      </c>
      <c r="D148" t="s">
        <v>587</v>
      </c>
      <c r="E148" t="s">
        <v>607</v>
      </c>
      <c r="F148" s="1">
        <v>1</v>
      </c>
    </row>
    <row r="149" spans="1:6" x14ac:dyDescent="0.3">
      <c r="A149" s="2">
        <v>44021</v>
      </c>
      <c r="B149" s="43">
        <v>0.55555555555555558</v>
      </c>
      <c r="C149" t="s">
        <v>650</v>
      </c>
      <c r="D149" t="s">
        <v>602</v>
      </c>
      <c r="E149" t="s">
        <v>586</v>
      </c>
      <c r="F149" s="1">
        <v>2</v>
      </c>
    </row>
    <row r="150" spans="1:6" x14ac:dyDescent="0.3">
      <c r="A150" s="2">
        <v>44021</v>
      </c>
      <c r="B150" s="43">
        <v>0.92222222222222217</v>
      </c>
      <c r="C150" t="s">
        <v>649</v>
      </c>
      <c r="D150" t="s">
        <v>587</v>
      </c>
      <c r="E150" t="s">
        <v>586</v>
      </c>
      <c r="F150" s="1">
        <v>5</v>
      </c>
    </row>
    <row r="151" spans="1:6" x14ac:dyDescent="0.3">
      <c r="A151" s="2">
        <v>44023</v>
      </c>
      <c r="B151" s="43">
        <v>0.92986111111111114</v>
      </c>
      <c r="C151" t="s">
        <v>649</v>
      </c>
      <c r="D151" t="s">
        <v>596</v>
      </c>
      <c r="E151" t="s">
        <v>591</v>
      </c>
      <c r="F151" s="1">
        <v>1</v>
      </c>
    </row>
    <row r="152" spans="1:6" x14ac:dyDescent="0.3">
      <c r="A152" s="26"/>
      <c r="B152" s="37"/>
    </row>
    <row r="153" spans="1:6" x14ac:dyDescent="0.3">
      <c r="A153" s="26"/>
      <c r="B153" s="37"/>
    </row>
    <row r="154" spans="1:6" x14ac:dyDescent="0.3">
      <c r="A154" s="26"/>
      <c r="B154" s="37"/>
    </row>
    <row r="155" spans="1:6" x14ac:dyDescent="0.3">
      <c r="A155" s="26"/>
      <c r="B155" s="37"/>
    </row>
    <row r="156" spans="1:6" x14ac:dyDescent="0.3">
      <c r="A156" s="26"/>
      <c r="B156" s="37"/>
    </row>
    <row r="157" spans="1:6" x14ac:dyDescent="0.3">
      <c r="A157" s="26"/>
      <c r="B157" s="37"/>
    </row>
    <row r="158" spans="1:6" x14ac:dyDescent="0.3">
      <c r="A158" s="26"/>
      <c r="B158" s="37"/>
    </row>
    <row r="159" spans="1:6" x14ac:dyDescent="0.3">
      <c r="A159" s="26"/>
      <c r="B159" s="37"/>
    </row>
    <row r="160" spans="1:6" x14ac:dyDescent="0.3">
      <c r="A160" s="26"/>
      <c r="B160" s="37"/>
    </row>
    <row r="161" spans="1:2" x14ac:dyDescent="0.3">
      <c r="A161" s="26"/>
      <c r="B161" s="37"/>
    </row>
    <row r="162" spans="1:2" x14ac:dyDescent="0.3">
      <c r="A162" s="26"/>
      <c r="B162" s="37"/>
    </row>
    <row r="163" spans="1:2" x14ac:dyDescent="0.3">
      <c r="A163" s="26"/>
      <c r="B163" s="37"/>
    </row>
    <row r="164" spans="1:2" x14ac:dyDescent="0.3">
      <c r="A164" s="26"/>
      <c r="B164" s="37"/>
    </row>
    <row r="165" spans="1:2" x14ac:dyDescent="0.3">
      <c r="A165" s="26"/>
      <c r="B165" s="37"/>
    </row>
    <row r="166" spans="1:2" x14ac:dyDescent="0.3">
      <c r="A166" s="26"/>
      <c r="B166" s="37"/>
    </row>
    <row r="167" spans="1:2" x14ac:dyDescent="0.3">
      <c r="A167" s="26"/>
      <c r="B167" s="37"/>
    </row>
    <row r="168" spans="1:2" x14ac:dyDescent="0.3">
      <c r="A168" s="26"/>
      <c r="B168" s="37"/>
    </row>
    <row r="169" spans="1:2" x14ac:dyDescent="0.3">
      <c r="A169" s="26"/>
      <c r="B169" s="37"/>
    </row>
    <row r="170" spans="1:2" x14ac:dyDescent="0.3">
      <c r="A170" s="26"/>
      <c r="B170" s="37"/>
    </row>
    <row r="171" spans="1:2" x14ac:dyDescent="0.3">
      <c r="A171" s="26"/>
      <c r="B171" s="37"/>
    </row>
    <row r="172" spans="1:2" x14ac:dyDescent="0.3">
      <c r="A172" s="26"/>
      <c r="B172" s="37"/>
    </row>
    <row r="173" spans="1:2" x14ac:dyDescent="0.3">
      <c r="A173" s="26"/>
      <c r="B173" s="37"/>
    </row>
    <row r="174" spans="1:2" x14ac:dyDescent="0.3">
      <c r="A174" s="26"/>
      <c r="B174" s="37"/>
    </row>
    <row r="175" spans="1:2" x14ac:dyDescent="0.3">
      <c r="A175" s="26"/>
      <c r="B175" s="37"/>
    </row>
    <row r="176" spans="1:2" x14ac:dyDescent="0.3">
      <c r="A176" s="26"/>
      <c r="B176" s="37"/>
    </row>
    <row r="177" spans="1:2" x14ac:dyDescent="0.3">
      <c r="A177" s="26"/>
      <c r="B177" s="37"/>
    </row>
    <row r="178" spans="1:2" x14ac:dyDescent="0.3">
      <c r="A178" s="26"/>
      <c r="B178" s="37"/>
    </row>
  </sheetData>
  <mergeCells count="1">
    <mergeCell ref="A1:F1"/>
  </mergeCell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CDDF73-3B56-4629-AF35-EDCBC90A5F3C}">
  <sheetPr codeName="Sheet24">
    <tabColor rgb="FFFF9999"/>
  </sheetPr>
  <dimension ref="A1:C9"/>
  <sheetViews>
    <sheetView tabSelected="1" workbookViewId="0">
      <selection sqref="A1:C9"/>
    </sheetView>
  </sheetViews>
  <sheetFormatPr defaultRowHeight="14.4" x14ac:dyDescent="0.3"/>
  <cols>
    <col min="2" max="3" width="11.44140625" customWidth="1"/>
  </cols>
  <sheetData>
    <row r="1" spans="1:3" x14ac:dyDescent="0.3">
      <c r="A1" s="38" t="s">
        <v>630</v>
      </c>
      <c r="B1" s="38" t="s">
        <v>631</v>
      </c>
      <c r="C1" s="38" t="s">
        <v>632</v>
      </c>
    </row>
    <row r="2" spans="1:3" x14ac:dyDescent="0.3">
      <c r="A2" s="1" t="s">
        <v>29</v>
      </c>
      <c r="B2" s="39">
        <v>9506</v>
      </c>
      <c r="C2" s="40">
        <v>0.21992020718135369</v>
      </c>
    </row>
    <row r="3" spans="1:3" x14ac:dyDescent="0.3">
      <c r="A3" s="1" t="s">
        <v>30</v>
      </c>
      <c r="B3" s="39">
        <v>8986</v>
      </c>
      <c r="C3" s="40">
        <v>0.22193802981584332</v>
      </c>
    </row>
    <row r="4" spans="1:3" x14ac:dyDescent="0.3">
      <c r="A4" s="1" t="s">
        <v>31</v>
      </c>
      <c r="B4" s="39">
        <v>7241</v>
      </c>
      <c r="C4" s="40">
        <v>0.21524825902143438</v>
      </c>
    </row>
    <row r="5" spans="1:3" x14ac:dyDescent="0.3">
      <c r="A5" s="1" t="s">
        <v>32</v>
      </c>
      <c r="B5" s="39">
        <v>2598</v>
      </c>
      <c r="C5" s="40">
        <v>0.24562682215743439</v>
      </c>
    </row>
    <row r="6" spans="1:3" x14ac:dyDescent="0.3">
      <c r="A6" s="1" t="s">
        <v>33</v>
      </c>
      <c r="B6" s="39">
        <v>3953</v>
      </c>
      <c r="C6" s="40">
        <v>0.30476500243942106</v>
      </c>
    </row>
    <row r="7" spans="1:3" x14ac:dyDescent="0.3">
      <c r="A7" s="1" t="s">
        <v>34</v>
      </c>
      <c r="B7" s="39">
        <v>5012</v>
      </c>
      <c r="C7" s="40">
        <v>0.35596113445378152</v>
      </c>
    </row>
    <row r="8" spans="1:3" x14ac:dyDescent="0.3">
      <c r="A8" s="1" t="s">
        <v>35</v>
      </c>
      <c r="B8" s="39">
        <v>6128</v>
      </c>
      <c r="C8" s="40">
        <v>0.34731707317073168</v>
      </c>
    </row>
    <row r="9" spans="1:3" x14ac:dyDescent="0.3">
      <c r="A9" s="1" t="s">
        <v>36</v>
      </c>
      <c r="B9" s="39">
        <v>5716</v>
      </c>
      <c r="C9" s="40">
        <v>0.35006287870126901</v>
      </c>
    </row>
  </sheetData>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8E92F0-00A3-41D8-9502-114F6FB9A631}">
  <sheetPr codeName="Sheet25">
    <tabColor rgb="FFFF9999"/>
  </sheetPr>
  <dimension ref="A3:B22"/>
  <sheetViews>
    <sheetView workbookViewId="0">
      <selection activeCell="B4" sqref="B4"/>
    </sheetView>
  </sheetViews>
  <sheetFormatPr defaultRowHeight="14.4" x14ac:dyDescent="0.3"/>
  <cols>
    <col min="1" max="1" width="45.77734375" bestFit="1" customWidth="1"/>
    <col min="2" max="2" width="24.5546875" bestFit="1" customWidth="1"/>
  </cols>
  <sheetData>
    <row r="3" spans="1:2" x14ac:dyDescent="0.3">
      <c r="A3" s="11" t="s">
        <v>583</v>
      </c>
      <c r="B3" t="s">
        <v>625</v>
      </c>
    </row>
    <row r="4" spans="1:2" x14ac:dyDescent="0.3">
      <c r="A4" t="s">
        <v>587</v>
      </c>
      <c r="B4" s="52">
        <v>0.5178571428571429</v>
      </c>
    </row>
    <row r="5" spans="1:2" x14ac:dyDescent="0.3">
      <c r="A5" t="s">
        <v>609</v>
      </c>
      <c r="B5" s="52">
        <v>0.14285714285714285</v>
      </c>
    </row>
    <row r="6" spans="1:2" x14ac:dyDescent="0.3">
      <c r="A6" t="s">
        <v>593</v>
      </c>
      <c r="B6" s="52">
        <v>8.9285714285714288E-2</v>
      </c>
    </row>
    <row r="7" spans="1:2" x14ac:dyDescent="0.3">
      <c r="A7" t="s">
        <v>596</v>
      </c>
      <c r="B7" s="52">
        <v>7.1428571428571425E-2</v>
      </c>
    </row>
    <row r="8" spans="1:2" x14ac:dyDescent="0.3">
      <c r="A8" t="s">
        <v>592</v>
      </c>
      <c r="B8" s="52">
        <v>5.3571428571428568E-2</v>
      </c>
    </row>
    <row r="9" spans="1:2" x14ac:dyDescent="0.3">
      <c r="A9" t="s">
        <v>602</v>
      </c>
      <c r="B9" s="52">
        <v>3.5714285714285712E-2</v>
      </c>
    </row>
    <row r="10" spans="1:2" x14ac:dyDescent="0.3">
      <c r="A10" t="s">
        <v>617</v>
      </c>
      <c r="B10" s="52">
        <v>3.5714285714285712E-2</v>
      </c>
    </row>
    <row r="11" spans="1:2" x14ac:dyDescent="0.3">
      <c r="A11" t="s">
        <v>611</v>
      </c>
      <c r="B11" s="52">
        <v>1.7857142857142856E-2</v>
      </c>
    </row>
    <row r="12" spans="1:2" x14ac:dyDescent="0.3">
      <c r="A12" t="s">
        <v>616</v>
      </c>
      <c r="B12" s="52">
        <v>1.7857142857142856E-2</v>
      </c>
    </row>
    <row r="13" spans="1:2" x14ac:dyDescent="0.3">
      <c r="A13" t="s">
        <v>595</v>
      </c>
      <c r="B13" s="52">
        <v>1.7857142857142856E-2</v>
      </c>
    </row>
    <row r="14" spans="1:2" x14ac:dyDescent="0.3">
      <c r="A14" t="s">
        <v>588</v>
      </c>
      <c r="B14" s="52">
        <v>0</v>
      </c>
    </row>
    <row r="15" spans="1:2" x14ac:dyDescent="0.3">
      <c r="A15" t="s">
        <v>606</v>
      </c>
      <c r="B15" s="52">
        <v>0</v>
      </c>
    </row>
    <row r="16" spans="1:2" x14ac:dyDescent="0.3">
      <c r="A16" t="s">
        <v>599</v>
      </c>
      <c r="B16" s="52">
        <v>0</v>
      </c>
    </row>
    <row r="17" spans="1:2" x14ac:dyDescent="0.3">
      <c r="A17" t="s">
        <v>604</v>
      </c>
      <c r="B17" s="52">
        <v>0</v>
      </c>
    </row>
    <row r="18" spans="1:2" x14ac:dyDescent="0.3">
      <c r="A18" t="s">
        <v>585</v>
      </c>
      <c r="B18" s="52">
        <v>0</v>
      </c>
    </row>
    <row r="19" spans="1:2" x14ac:dyDescent="0.3">
      <c r="A19" t="s">
        <v>619</v>
      </c>
      <c r="B19" s="52">
        <v>0</v>
      </c>
    </row>
    <row r="20" spans="1:2" x14ac:dyDescent="0.3">
      <c r="A20" t="s">
        <v>613</v>
      </c>
      <c r="B20" s="52">
        <v>0</v>
      </c>
    </row>
    <row r="21" spans="1:2" x14ac:dyDescent="0.3">
      <c r="A21" t="s">
        <v>627</v>
      </c>
      <c r="B21" s="52">
        <v>0</v>
      </c>
    </row>
    <row r="22" spans="1:2" x14ac:dyDescent="0.3">
      <c r="A22" t="s">
        <v>28</v>
      </c>
      <c r="B22" s="52">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25</vt:i4>
      </vt:variant>
    </vt:vector>
  </HeadingPairs>
  <TitlesOfParts>
    <vt:vector size="25" baseType="lpstr">
      <vt:lpstr>PROJECT 1</vt:lpstr>
      <vt:lpstr>Orders</vt:lpstr>
      <vt:lpstr>Products</vt:lpstr>
      <vt:lpstr>Countries</vt:lpstr>
      <vt:lpstr>Warehouse Extension</vt:lpstr>
      <vt:lpstr>Summary Chart</vt:lpstr>
      <vt:lpstr>PROJECT 2</vt:lpstr>
      <vt:lpstr>Team Selector</vt:lpstr>
      <vt:lpstr>Beer Prices</vt:lpstr>
      <vt:lpstr>Price per Ounce</vt:lpstr>
      <vt:lpstr>PROJECT 3</vt:lpstr>
      <vt:lpstr>Indicators</vt:lpstr>
      <vt:lpstr>Region Summary</vt:lpstr>
      <vt:lpstr>PROJECT 4</vt:lpstr>
      <vt:lpstr>Inventory</vt:lpstr>
      <vt:lpstr>Order Tracker</vt:lpstr>
      <vt:lpstr>PROJECT 5</vt:lpstr>
      <vt:lpstr>Product Sales</vt:lpstr>
      <vt:lpstr>Sales by Store</vt:lpstr>
      <vt:lpstr>New Product</vt:lpstr>
      <vt:lpstr>PROJECT 6</vt:lpstr>
      <vt:lpstr>Van Collisions</vt:lpstr>
      <vt:lpstr>Taxi Collisions</vt:lpstr>
      <vt:lpstr>Monthly Trend</vt:lpstr>
      <vt:lpstr>Collision Causes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Enrique Ruiz</dc:creator>
  <cp:lastModifiedBy>Aman Verma</cp:lastModifiedBy>
  <dcterms:created xsi:type="dcterms:W3CDTF">2020-10-07T16:28:27Z</dcterms:created>
  <dcterms:modified xsi:type="dcterms:W3CDTF">2026-02-07T14:14:28Z</dcterms:modified>
</cp:coreProperties>
</file>